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-development\goldStandard\"/>
    </mc:Choice>
  </mc:AlternateContent>
  <xr:revisionPtr revIDLastSave="0" documentId="13_ncr:1_{8D6C4FF0-7C14-454B-BF4A-CD46A9675EC0}" xr6:coauthVersionLast="47" xr6:coauthVersionMax="47" xr10:uidLastSave="{00000000-0000-0000-0000-000000000000}"/>
  <bookViews>
    <workbookView xWindow="-103" yWindow="-103" windowWidth="22149" windowHeight="13200" xr2:uid="{F827C457-048B-4104-BF2A-59E43A6422D6}"/>
  </bookViews>
  <sheets>
    <sheet name="In" sheetId="1" r:id="rId1"/>
    <sheet name="Out" sheetId="2" r:id="rId2"/>
    <sheet name="Possible" sheetId="3" r:id="rId3"/>
  </sheets>
  <definedNames>
    <definedName name="_xlnm._FilterDatabase" localSheetId="0" hidden="1">In!$A$1:$S$101</definedName>
    <definedName name="_xlnm._FilterDatabase" localSheetId="1" hidden="1">Out!$B$3:$P$4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2" l="1"/>
  <c r="M101" i="1"/>
  <c r="M100" i="1"/>
  <c r="M99" i="1"/>
  <c r="M98" i="1"/>
  <c r="M97" i="1"/>
  <c r="M96" i="1"/>
  <c r="M94" i="1"/>
  <c r="M93" i="1"/>
  <c r="M91" i="1"/>
  <c r="M90" i="1"/>
  <c r="M89" i="1"/>
  <c r="M88" i="1"/>
  <c r="M87" i="1"/>
  <c r="M86" i="1"/>
  <c r="M85" i="1"/>
  <c r="M84" i="1"/>
  <c r="M83" i="1"/>
  <c r="M80" i="1"/>
  <c r="M79" i="1"/>
  <c r="M77" i="1"/>
  <c r="M76" i="1"/>
  <c r="M75" i="1"/>
  <c r="M74" i="1"/>
  <c r="M72" i="1"/>
  <c r="M71" i="1"/>
  <c r="M69" i="1"/>
  <c r="M67" i="1"/>
  <c r="M66" i="1"/>
  <c r="M62" i="1"/>
  <c r="M61" i="1"/>
  <c r="M57" i="1"/>
  <c r="M56" i="1"/>
  <c r="M55" i="1"/>
  <c r="M54" i="1"/>
  <c r="M51" i="1"/>
  <c r="M50" i="1"/>
  <c r="M49" i="1"/>
  <c r="M46" i="1"/>
  <c r="M43" i="1"/>
  <c r="M41" i="1"/>
  <c r="M40" i="1"/>
  <c r="M39" i="1"/>
  <c r="M38" i="1"/>
  <c r="M37" i="1"/>
  <c r="M36" i="1" l="1"/>
  <c r="M35" i="1"/>
  <c r="M34" i="1"/>
  <c r="M33" i="1"/>
  <c r="M32" i="1"/>
  <c r="M21" i="1"/>
  <c r="M30" i="1"/>
  <c r="M29" i="1"/>
  <c r="M27" i="1"/>
  <c r="M23" i="1"/>
  <c r="M22" i="1"/>
  <c r="M42" i="1"/>
  <c r="M19" i="1"/>
  <c r="M14" i="1"/>
  <c r="M12" i="1" l="1"/>
  <c r="M9" i="1"/>
  <c r="M8" i="1"/>
  <c r="M7" i="1"/>
  <c r="M5" i="1"/>
  <c r="M2" i="1"/>
  <c r="M4" i="1"/>
</calcChain>
</file>

<file path=xl/sharedStrings.xml><?xml version="1.0" encoding="utf-8"?>
<sst xmlns="http://schemas.openxmlformats.org/spreadsheetml/2006/main" count="1475" uniqueCount="716">
  <si>
    <t>ID</t>
  </si>
  <si>
    <t>Repository</t>
  </si>
  <si>
    <t>MS instrument</t>
  </si>
  <si>
    <t>Analysis Software</t>
  </si>
  <si>
    <t>Specie</t>
  </si>
  <si>
    <t>N groups</t>
  </si>
  <si>
    <t>Sample size</t>
  </si>
  <si>
    <t>PXD025933</t>
  </si>
  <si>
    <t>PRIDE</t>
  </si>
  <si>
    <t>MaxQuant</t>
  </si>
  <si>
    <t>Tissue</t>
  </si>
  <si>
    <t>Homo sapiens</t>
  </si>
  <si>
    <t>Q Exactive Plus</t>
  </si>
  <si>
    <t>Publication (DOI)</t>
  </si>
  <si>
    <t>DOI: 10.1016/j.stemcr.2022.04.003 </t>
  </si>
  <si>
    <t>DOI: 10.1128/JVI.00790-24</t>
  </si>
  <si>
    <t>PXD055210</t>
  </si>
  <si>
    <t>Mus musculus</t>
  </si>
  <si>
    <t>Q Exactive HF-X</t>
  </si>
  <si>
    <t>Comments</t>
  </si>
  <si>
    <t>2 conditions assessed: pulse and pulseChase</t>
  </si>
  <si>
    <t>PXD058699</t>
  </si>
  <si>
    <t>Group names</t>
  </si>
  <si>
    <t>(gap);L;M;H</t>
  </si>
  <si>
    <t>More docs</t>
  </si>
  <si>
    <t>DOI: 10.1016/J.CCELL.2025.02.008</t>
  </si>
  <si>
    <t xml:space="preserve">XLSX: Supplementary table </t>
  </si>
  <si>
    <t>Orbitrap Fusion Lumos</t>
  </si>
  <si>
    <t>PXD031710</t>
  </si>
  <si>
    <t>Orbitrap Fusion</t>
  </si>
  <si>
    <t>XLSX: Supplementary table (sheet sf6g)</t>
  </si>
  <si>
    <t>DOI: 10.1038/s41467-022-29486-z</t>
  </si>
  <si>
    <t>PXD066495</t>
  </si>
  <si>
    <t>Orbitrap Ascend</t>
  </si>
  <si>
    <t>Cell culture</t>
  </si>
  <si>
    <t>DOI: 10.1016/J.CELL.2025.10.028</t>
  </si>
  <si>
    <t>XLSX: supplementary sample legend</t>
  </si>
  <si>
    <t>Number</t>
  </si>
  <si>
    <t>PXD065898</t>
  </si>
  <si>
    <t>Orbitrap Exploris 480</t>
  </si>
  <si>
    <t>Pending</t>
  </si>
  <si>
    <t>XLSX: sample information</t>
  </si>
  <si>
    <t>PXD064630</t>
  </si>
  <si>
    <t>Q Exactive HF</t>
  </si>
  <si>
    <t>wt;ko</t>
  </si>
  <si>
    <t>DOI: 10.1016/j.jbc.2025.110916</t>
  </si>
  <si>
    <t>TXT: sample legend</t>
  </si>
  <si>
    <t>PXD043324</t>
  </si>
  <si>
    <t>FragPipe </t>
  </si>
  <si>
    <t>Serum</t>
  </si>
  <si>
    <t>CTR;CZS-;CZS+</t>
  </si>
  <si>
    <t>DOI: 10.1021/ACS.JPROTEOME.3C00677</t>
  </si>
  <si>
    <t>PXD058626</t>
  </si>
  <si>
    <t>timsTOF SCP</t>
  </si>
  <si>
    <t>DOI: 10.1172/JCI.INSIGHT.189636</t>
  </si>
  <si>
    <t>2 subtissues assessed: airway and alveoli</t>
  </si>
  <si>
    <t>PXD029547</t>
  </si>
  <si>
    <t>timsTOF Pro</t>
  </si>
  <si>
    <t>acute;recovery</t>
  </si>
  <si>
    <t>DOI: 10.1371/journal.ppat.1010176</t>
  </si>
  <si>
    <t>CSV: codex and zip with all results from fragpipe</t>
  </si>
  <si>
    <t>LTQ Orbitrap Elite</t>
  </si>
  <si>
    <t>PXD038236</t>
  </si>
  <si>
    <t>WT;KO</t>
  </si>
  <si>
    <t>DOI: 10.1172/jci.insight.164751</t>
  </si>
  <si>
    <t>PXD062018</t>
  </si>
  <si>
    <t>Brain</t>
  </si>
  <si>
    <t>2 different times assessed: 3h, 6h</t>
  </si>
  <si>
    <t>DOI: 10.1038/S41467-025-64360-8</t>
  </si>
  <si>
    <t>DOI: 10.3389/fmed.2022.873483</t>
  </si>
  <si>
    <t>From meta-analysis</t>
  </si>
  <si>
    <t>PXD033101</t>
  </si>
  <si>
    <t>Tear</t>
  </si>
  <si>
    <t>PXD022561</t>
  </si>
  <si>
    <t>Pancreas</t>
  </si>
  <si>
    <t>PXD064699</t>
  </si>
  <si>
    <t>Proteome Discoverer</t>
  </si>
  <si>
    <t>Cerebrospinal fluid</t>
  </si>
  <si>
    <t>CN;preAD;AD;oDS;asymDS;proDS;demDS</t>
  </si>
  <si>
    <t>CSV: groups and samplesto select (last column)</t>
  </si>
  <si>
    <t>TMT!!!En experimental design, na última columna seleccionando VERDADERO están as 365 mostras usadas no estudio. Son as que hai que seleccionar na matriz. O grupo está na columna group (tabla 1 do paper).</t>
  </si>
  <si>
    <t>Labelling</t>
  </si>
  <si>
    <t>TMT</t>
  </si>
  <si>
    <t>DOI: 10.1038/s41467-025-61054-z</t>
  </si>
  <si>
    <t>Acquisition</t>
  </si>
  <si>
    <t>DDA</t>
  </si>
  <si>
    <t>DIA</t>
  </si>
  <si>
    <t>DOI: 10.1038/s42255-021-00420-9</t>
  </si>
  <si>
    <t xml:space="preserve">Phosphoproteomics e marcaxe SILAC. Non sei si está correcto. Ademais, a primera columna Intensity noutros datasets é como unha columna "Global" de intensidade, pode que aquí tamén </t>
  </si>
  <si>
    <t>Considerei 4 grupo non 2, porque miden os mismos grupos en 2 momentos ou 2 tecidos</t>
  </si>
  <si>
    <t>Considerei solo 2 grupos porque había moito valor faltante nos outros</t>
  </si>
  <si>
    <t>From meta-analysis 944 (searching there corresponce between group - samples)</t>
  </si>
  <si>
    <t>Quedan poucas proteínas e teñen formas raras nas gráficas de evaluación… mais que raras, sin forma. Quizás hai que eliminar</t>
  </si>
  <si>
    <t>PXD022614</t>
  </si>
  <si>
    <t>LTQ Orbitrap;Q Exactive</t>
  </si>
  <si>
    <t>PXD019504</t>
  </si>
  <si>
    <t>Colon</t>
  </si>
  <si>
    <t>DOI: 10.18632/oncotarget.27491</t>
  </si>
  <si>
    <t>PXD054553</t>
  </si>
  <si>
    <t>Blood</t>
  </si>
  <si>
    <t>DOI: 10.1016/J.JBC.2025.108386</t>
  </si>
  <si>
    <t>PXD054636</t>
  </si>
  <si>
    <t>Con;VEGFA;BRK</t>
  </si>
  <si>
    <t>PXD054712 for the same author, same illness</t>
  </si>
  <si>
    <t>PXD054817</t>
  </si>
  <si>
    <t>Q Exactive</t>
  </si>
  <si>
    <t>DOI: 10.1002/1878-0261.70019</t>
  </si>
  <si>
    <t>Experiment 1</t>
  </si>
  <si>
    <t>Experiment 2</t>
  </si>
  <si>
    <t>PXD054817.2</t>
  </si>
  <si>
    <t>PXD046983</t>
  </si>
  <si>
    <t>ZenoTOF 7600</t>
  </si>
  <si>
    <t>DIANN</t>
  </si>
  <si>
    <t>Retina</t>
  </si>
  <si>
    <t>TSV: sample info PXD046983.sdrf.tsv</t>
  </si>
  <si>
    <t>PXD050996</t>
  </si>
  <si>
    <t>Heart</t>
  </si>
  <si>
    <t>CA;CP;MA;MP</t>
  </si>
  <si>
    <t>Group info from sample name | PXD050990 from same research</t>
  </si>
  <si>
    <t>Dengue;Control</t>
  </si>
  <si>
    <t>DOI: 10.1002/jmv.29775</t>
  </si>
  <si>
    <t>PXD062678</t>
  </si>
  <si>
    <t>timsTOF Pro 2</t>
  </si>
  <si>
    <t>Saliva</t>
  </si>
  <si>
    <t>Control;OSCC;Premalignant</t>
  </si>
  <si>
    <t>PXD063236</t>
  </si>
  <si>
    <t>PXD063383</t>
  </si>
  <si>
    <t>BV2;EMPTY;SCR;SPI1KD;SPI1OE</t>
  </si>
  <si>
    <t>PXD063923</t>
  </si>
  <si>
    <t>WT;IT;RX</t>
  </si>
  <si>
    <t>DOI: 10.1016/J.MCPRO.2025.101462</t>
  </si>
  <si>
    <t>PXD058791</t>
  </si>
  <si>
    <t>Myc.M.aMum1.;Myc.M.IgG.;Myc.M.aMvc.;Vec.a.MVC.</t>
  </si>
  <si>
    <t>PXD058655</t>
  </si>
  <si>
    <t>Orbitrap Eclipse</t>
  </si>
  <si>
    <t>0h;12h;24h</t>
  </si>
  <si>
    <t>DOI: 10.1101/2023.09.16.558067</t>
  </si>
  <si>
    <t>PXD051732</t>
  </si>
  <si>
    <t>Escherichia coli</t>
  </si>
  <si>
    <t>maXis</t>
  </si>
  <si>
    <t>CI3_M5;CI3_WT;CI23_M3;CI23_WT;CI39_M3;CI39_WT</t>
  </si>
  <si>
    <t>DOI: 10.1038/S44259-024-00050-7</t>
  </si>
  <si>
    <t>PXD047566</t>
  </si>
  <si>
    <t>Same paper PXD051732</t>
  </si>
  <si>
    <t>WT;M3;M6;M8;WT_T;M3_T;M6_T;M8_T</t>
  </si>
  <si>
    <t>PXD055964</t>
  </si>
  <si>
    <t>Aortic tissue</t>
  </si>
  <si>
    <t>WT_No;fl/fl_No;WT_Yes;fl/fl_Yes</t>
  </si>
  <si>
    <t>DOI: 10.1016/j.jbc.2025.108400</t>
  </si>
  <si>
    <t>XLSX: PXD055964_Metadata.xlsx</t>
  </si>
  <si>
    <t>PXD060381</t>
  </si>
  <si>
    <t>Orbitrap Astral</t>
  </si>
  <si>
    <t>WT;NT;TS</t>
  </si>
  <si>
    <t>DOI: 10.1007/s12195-025-00843-4</t>
  </si>
  <si>
    <t>PXD056859</t>
  </si>
  <si>
    <t>Oocyte</t>
  </si>
  <si>
    <t>WT;Het;Hom</t>
  </si>
  <si>
    <t>DOI: 10.1093/molehr/gaaf055</t>
  </si>
  <si>
    <t>PXD047128</t>
  </si>
  <si>
    <t>Urine</t>
  </si>
  <si>
    <t>UW;UO;UP</t>
  </si>
  <si>
    <t>PXD064948</t>
  </si>
  <si>
    <t>DOI: 10.1016/j.ocarto.2025.100664</t>
  </si>
  <si>
    <t>Chondrocytes</t>
  </si>
  <si>
    <t>timsTOF HT</t>
  </si>
  <si>
    <t>PXD051201</t>
  </si>
  <si>
    <t>TXT: PXD051201_DM.xlsx</t>
  </si>
  <si>
    <t>DM file created from an additional XLSX in PRIDE and Supplementary Material wit group info</t>
  </si>
  <si>
    <t>DOI: 10.1186/s12014-025-09549-1</t>
  </si>
  <si>
    <t>PXD068597</t>
  </si>
  <si>
    <t>DOI: 10.1158/0008-5472.can-25-1904</t>
  </si>
  <si>
    <t>PXD060921</t>
  </si>
  <si>
    <t>timsTOF fleX</t>
  </si>
  <si>
    <t>Neuronal stem cell</t>
  </si>
  <si>
    <t>EV.VH;NI;PBS;ND</t>
  </si>
  <si>
    <t>DOI: 10.1002/jex2.70108</t>
  </si>
  <si>
    <t>PXD071471</t>
  </si>
  <si>
    <t>AR_3rdT;AH_6MPP;H_3rdT;H_6MPP</t>
  </si>
  <si>
    <t>DOI: 10.1016/J.ARCHORALBIO.2025.106319</t>
  </si>
  <si>
    <t>XLSX: PXD071471_SDRF_pregnancy.xlsx</t>
  </si>
  <si>
    <t>PXD057069</t>
  </si>
  <si>
    <t>WT_CTSB;AD_CTSB;AD_Con;WT_Con</t>
  </si>
  <si>
    <t>DOI: 10.1111/acel.70242</t>
  </si>
  <si>
    <t>TXT: PXD057069_HvP_Metadata.txt</t>
  </si>
  <si>
    <t>There are also quantification files for blood and muscle!</t>
  </si>
  <si>
    <t>PXD055158</t>
  </si>
  <si>
    <t>TripleTOF 5600</t>
  </si>
  <si>
    <t>Severe;Mild</t>
  </si>
  <si>
    <t>DOI: 10.1186/s13075-025-03489-9</t>
  </si>
  <si>
    <t>TXT: PXD055158_experiment_annotation.txt</t>
  </si>
  <si>
    <t>PXD045557</t>
  </si>
  <si>
    <t>Lens</t>
  </si>
  <si>
    <t>DC;ARC;PVC</t>
  </si>
  <si>
    <t>DOI: 10.3390/jcm13237287</t>
  </si>
  <si>
    <t>XLSX: PXD045557_KEY_Phaco.xlsx</t>
  </si>
  <si>
    <t>PXD045554</t>
  </si>
  <si>
    <t>Eye</t>
  </si>
  <si>
    <t>XLSX: PXD045554_KEY_AH.xlsx</t>
  </si>
  <si>
    <t>PXD054270</t>
  </si>
  <si>
    <t>DOI: 10.3390/ANTIOX13111340</t>
  </si>
  <si>
    <t>TXT: PXD054270_DIA_experimental_design_MCF001695.txt</t>
  </si>
  <si>
    <t>PXD040451</t>
  </si>
  <si>
    <t>Rectal cancer cell</t>
  </si>
  <si>
    <t>Responder;Non-Responder</t>
  </si>
  <si>
    <t>DOI: 10.3390/ijms242015412</t>
  </si>
  <si>
    <t>XLSX: PXD040451_Key_30330.xlsx</t>
  </si>
  <si>
    <t>PXD051606</t>
  </si>
  <si>
    <t>Q Exactive HF-X;Orbitrap Exploris 480</t>
  </si>
  <si>
    <t>Plasma</t>
  </si>
  <si>
    <t>DOI: 10.1016/j.molmet.2024.101983</t>
  </si>
  <si>
    <t>PXD043635</t>
  </si>
  <si>
    <t>Veh;Dex;Spi10;Spi1;Dex+Spi10;Dex+Spi1</t>
  </si>
  <si>
    <t>DOI: 10.1007/s00018-023-04900-x</t>
  </si>
  <si>
    <t>TXT: PXD043635_sample_info.txt</t>
  </si>
  <si>
    <t>PXD044220</t>
  </si>
  <si>
    <t>Fibroblast</t>
  </si>
  <si>
    <t>WT_D0;WT_D3;WT_D4;KO_D0;KO_D3;KO_D4</t>
  </si>
  <si>
    <t>DOI: 10.3390/CANCERS15204997</t>
  </si>
  <si>
    <t>XLSX: PXD044220_Dafou_KEY.xlsx</t>
  </si>
  <si>
    <t>PXD054374</t>
  </si>
  <si>
    <t>Vehicle;R1881</t>
  </si>
  <si>
    <t>TXT: PXD054374_DIA_experimental_design_PCF000078.txt</t>
  </si>
  <si>
    <t>PXD047024</t>
  </si>
  <si>
    <t>Control;Mutant</t>
  </si>
  <si>
    <t>XLSX: PXD047024_40485_KEY.xlsx</t>
  </si>
  <si>
    <t>PXD047038</t>
  </si>
  <si>
    <t>Es de Martina Samiotaki, xa teño moitos pero en ultima instancia valería</t>
  </si>
  <si>
    <t>Comment</t>
  </si>
  <si>
    <t>PXD054712</t>
  </si>
  <si>
    <t xml:space="preserve">Do mesmo autor que PXD054636, pero valería </t>
  </si>
  <si>
    <t xml:space="preserve"> PXD051732</t>
  </si>
  <si>
    <t>Do mesmo auto que PXD047566, valería</t>
  </si>
  <si>
    <t>PXD041191</t>
  </si>
  <si>
    <t>Es de Martina Samiotaki, pero é Sacaromyces…</t>
  </si>
  <si>
    <t>PXD071192</t>
  </si>
  <si>
    <t>ProteinPilot</t>
  </si>
  <si>
    <t>Placenta</t>
  </si>
  <si>
    <t>DOI: 10.1371/journal.pone.0322090</t>
  </si>
  <si>
    <t>metadata and code in CSV files</t>
  </si>
  <si>
    <t>T_30 remove from df quant, no info in dm matrix. T29 remove from dm matrix, no info in df quant</t>
  </si>
  <si>
    <t>PXD070887</t>
  </si>
  <si>
    <t>Liver</t>
  </si>
  <si>
    <t>WT;HET;SMA</t>
  </si>
  <si>
    <t>DOI: 10.64898/2026.01.08.698518</t>
  </si>
  <si>
    <t xml:space="preserve">Group identification by supplementary table 6 in paper. </t>
  </si>
  <si>
    <t>PXD070232</t>
  </si>
  <si>
    <t>Spectronaut</t>
  </si>
  <si>
    <t>AD_M;AD_F;Healthy_F;Healthy_M</t>
  </si>
  <si>
    <t>DOI: 10.17912/MICROPUB.BIOLOGY.001922</t>
  </si>
  <si>
    <t>CSV: PXD070232_CombsC_20250305_04_DIA_SampleList.csv</t>
  </si>
  <si>
    <t>PXD036609</t>
  </si>
  <si>
    <t>HC;LTPP</t>
  </si>
  <si>
    <t>Publication pending</t>
  </si>
  <si>
    <t>XLSX x2: metadata_for_HC.xlsx | metadata_for_LTPP.xlsx</t>
  </si>
  <si>
    <t>PXD035942</t>
  </si>
  <si>
    <t>DOI: 10.1021/acsomega.2c05487</t>
  </si>
  <si>
    <t>A supplementary XLSX from publication with sample basal info and groups</t>
  </si>
  <si>
    <t>PXD031992</t>
  </si>
  <si>
    <t>KO;WT</t>
  </si>
  <si>
    <t>DOI: 10.7554/elife.77937</t>
  </si>
  <si>
    <t>Cl11 line proteomics data is removed because in the FTP only .raw files for Cl31 samples were updated and onlt Cl3.1 was mentioned in the corresponding publication</t>
  </si>
  <si>
    <t>siNC;siPRDX6</t>
  </si>
  <si>
    <t>PXD028772</t>
  </si>
  <si>
    <t>DOI: 10.1016/j.redox.2021.102212</t>
  </si>
  <si>
    <t>XLSX: PXD028772_Annotation.xlsx</t>
  </si>
  <si>
    <t>PXD027817</t>
  </si>
  <si>
    <t>A;D</t>
  </si>
  <si>
    <t>DOI: 10.2147/jhc.s325629</t>
  </si>
  <si>
    <t>Table1 from publciation confirms 2 groups of 48 samples</t>
  </si>
  <si>
    <t>PXD020722</t>
  </si>
  <si>
    <t>DOI: 10.15252/emmm.202013257</t>
  </si>
  <si>
    <t>Table from publication with group information</t>
  </si>
  <si>
    <t>PXD020722.2</t>
  </si>
  <si>
    <t>PD-/LRRK2-;PD+/LRRK2-;PD+/LRRK2+;PD-/LRRK2+</t>
  </si>
  <si>
    <t>PXD041168</t>
  </si>
  <si>
    <t>unfed_GFP_Z12;unfed_GRKO_Z12;fed_GFP_Z14;fed_GRKO_Z14;fed_GFP_Z18;fed_GRKO_Z18</t>
  </si>
  <si>
    <t>DOI: 10.1210/endocr/bqad128</t>
  </si>
  <si>
    <t>TXT: PXD041168_experimental_design_.txt</t>
  </si>
  <si>
    <t>PXD054895</t>
  </si>
  <si>
    <t>Chow_Con_Insulin;HFD_612_Insulin;HFD_Con_Basal;HFD_Veh_Insulin;Chow_Con_Basal</t>
  </si>
  <si>
    <t>DOI: 10.1016/j.ejphar.2025.177465</t>
  </si>
  <si>
    <t>CSV: PXD054895_metadata.csv</t>
  </si>
  <si>
    <t>PXD070490</t>
  </si>
  <si>
    <t>Felis chaus</t>
  </si>
  <si>
    <t>ctrl;FCV_BJDX;FCV_BJ616</t>
  </si>
  <si>
    <t>In raw files we found the correspondence between samples and FCV strains</t>
  </si>
  <si>
    <t>PXD025359</t>
  </si>
  <si>
    <t>PXD014311</t>
  </si>
  <si>
    <t>Small intestine epithelium</t>
  </si>
  <si>
    <t>Duo_WT;Jej_WT;Ile_WT;Duo_KO;Jej_KO;Ile_KO</t>
  </si>
  <si>
    <t>DOI: 10.1016/j.celrep.2020.107565</t>
  </si>
  <si>
    <t>Non me quedan claros os grupos de comparacion, hai 4 tecidos por animal e cada animal mátase en semanas diferentes. Si fago os grupos tecido x semanas morte hai grupos duas e unha mostra</t>
  </si>
  <si>
    <t>PXD052118</t>
  </si>
  <si>
    <t>XLSX: Samples_conditions_files.xlsx</t>
  </si>
  <si>
    <t>PXD050249</t>
  </si>
  <si>
    <t>Saccharomyces cerevisiae</t>
  </si>
  <si>
    <t>MCY1441, MCY1444 strains</t>
  </si>
  <si>
    <t>DOI: 10.1093/nar/gkae1321</t>
  </si>
  <si>
    <t>PXD051789</t>
  </si>
  <si>
    <t>Skyline</t>
  </si>
  <si>
    <t>DOI:10.1039/d4mo00112e</t>
  </si>
  <si>
    <t>PXD012431</t>
  </si>
  <si>
    <t>Breast tissues</t>
  </si>
  <si>
    <t>axillary metastatic lymph nodes tissues;primary breast tumor tissues;adjacent breast tissues;non-tumor contralateral breast tissues</t>
  </si>
  <si>
    <t>DOI: 10.1016/j.dib.2019.104125</t>
  </si>
  <si>
    <t>LTQ Orbitrap XL ETD</t>
  </si>
  <si>
    <t>TSV: sdrf.tsv with sample annotations</t>
  </si>
  <si>
    <t>PXD048564</t>
  </si>
  <si>
    <t>TripleTOF 6600</t>
  </si>
  <si>
    <t>Rattus norvegicus</t>
  </si>
  <si>
    <t>Sham;SNx</t>
  </si>
  <si>
    <t>DOI: 10.1038/S41598-025-93894-6</t>
  </si>
  <si>
    <t>Fig 2 B from publication group asignation</t>
  </si>
  <si>
    <t>Urine and kidney available</t>
  </si>
  <si>
    <t>PXD045168</t>
  </si>
  <si>
    <t>timsTOF</t>
  </si>
  <si>
    <t>Microglia</t>
  </si>
  <si>
    <t>HI;HT;S;Si;SiHT</t>
  </si>
  <si>
    <t>DOI: 10.1186/S12974-024-03022-W</t>
  </si>
  <si>
    <t>Fig6 with proteomics representation and groups</t>
  </si>
  <si>
    <t>GABI;SALK;WT</t>
  </si>
  <si>
    <t>PXD043729</t>
  </si>
  <si>
    <t>Arabidopsis thaliana</t>
  </si>
  <si>
    <t>Mitochondria</t>
  </si>
  <si>
    <t>DOI: 10.1126/SCIENCE.ADG0995</t>
  </si>
  <si>
    <t>PXD018900</t>
  </si>
  <si>
    <t>Lung</t>
  </si>
  <si>
    <t>D180_0.5mg;D180_1.5mg;D180_Ctrl;D3_0.5mg;D3_1.5mg;D3_Ctrl;D30_0.5mg;D30_1.5mg;D30_Ctrl;D90_0.5mg;D90_1.5mg;D90_Ctrl</t>
  </si>
  <si>
    <t>DOI: 10.1080/17435390.2020.1851418</t>
  </si>
  <si>
    <t>TXT: PXD018900_experimentalDesignTemplate.txt</t>
  </si>
  <si>
    <t>PXD019296</t>
  </si>
  <si>
    <t>DOI: 10.1016/j.jep.2020.113460</t>
  </si>
  <si>
    <t>MI_D0;MI_D15;SBP_D0;SBP_D15;SOG_D0;SOG_D15</t>
  </si>
  <si>
    <t>PXD016670</t>
  </si>
  <si>
    <t>LTQ Orbitrap</t>
  </si>
  <si>
    <t>Colonies</t>
  </si>
  <si>
    <t>Ctl;psr1psr2;whi2</t>
  </si>
  <si>
    <t>DOI:10.1073/pnas.1922076117</t>
  </si>
  <si>
    <t>CTL;MAN;NACL</t>
  </si>
  <si>
    <t>Root</t>
  </si>
  <si>
    <t>PXD019139</t>
  </si>
  <si>
    <t>DOI: 10.1093/pcp/pcab076</t>
  </si>
  <si>
    <t>PXD019103</t>
  </si>
  <si>
    <t>N;T</t>
  </si>
  <si>
    <t>DOI: 10.3389/fonc.2020.00945</t>
  </si>
  <si>
    <t>PXD029776</t>
  </si>
  <si>
    <t>M0;M1;M2</t>
  </si>
  <si>
    <t>Macrophagues</t>
  </si>
  <si>
    <t>PXD041237</t>
  </si>
  <si>
    <t>Caenorhabditis elegans</t>
  </si>
  <si>
    <t>Whole body</t>
  </si>
  <si>
    <t>MC;MT</t>
  </si>
  <si>
    <t>DOI: 10.1186/s12979-024-00457-w</t>
  </si>
  <si>
    <t>DOI: 10.3390/biomedicines10020239</t>
  </si>
  <si>
    <t>PXD039491</t>
  </si>
  <si>
    <t>DOI: 10.3390/antiox12061153</t>
  </si>
  <si>
    <t>PXD040288</t>
  </si>
  <si>
    <t>C;I;L</t>
  </si>
  <si>
    <t>DOI: 10.3389/FIMMU.2023.1162159</t>
  </si>
  <si>
    <t>PXD022038</t>
  </si>
  <si>
    <t>DOI:10.1016/j.isci.2022.104787</t>
  </si>
  <si>
    <t>PXD007182</t>
  </si>
  <si>
    <t>DOI: 10.1074/jbc.ra117.001058</t>
  </si>
  <si>
    <t>Ctrl;XAV939</t>
  </si>
  <si>
    <t>PXD042498</t>
  </si>
  <si>
    <t>DMSO_24hr;DMSO_4hr;ERCO_24hr;ERCO_4hr</t>
  </si>
  <si>
    <t>DOI: 10.12688/openreseurope.15973.2</t>
  </si>
  <si>
    <t>Hsp162_Insolubl;Hsp162_Solubl;Hsp17_Insolubl;Hsp17_Solubl;Insolubl;Sip1_Insolubl;Sip1_Solubl;Solubl</t>
  </si>
  <si>
    <t>PXD038019</t>
  </si>
  <si>
    <t>DOI: 10.1016/J.JBC.2022.102753</t>
  </si>
  <si>
    <t>PXD069093</t>
  </si>
  <si>
    <t>XLSX: PXD069093_KinomeMetadata.xlsx</t>
  </si>
  <si>
    <t>palbociclib;palbociclib_efficacy;vehicle;vehicle_efficacy</t>
  </si>
  <si>
    <t>DOI: 10.1016/j.neo.2025.101266</t>
  </si>
  <si>
    <t>PXD068908</t>
  </si>
  <si>
    <t>3T3L1_Co;3T3L1_Vas;imBA_Co;imBA_Vas</t>
  </si>
  <si>
    <t>DOI: 10.1038/s41467-025-66950-y</t>
  </si>
  <si>
    <t xml:space="preserve">Bad quality, many missing values and two types of cell cultures that should be independently analyzed </t>
  </si>
  <si>
    <t>PXD068664</t>
  </si>
  <si>
    <t>Cell culture, 3x3 samples</t>
  </si>
  <si>
    <t>PXD004242</t>
  </si>
  <si>
    <t>Only one group: obesity</t>
  </si>
  <si>
    <t>PXD005354</t>
  </si>
  <si>
    <t>Only one group: colorrectal cancer</t>
  </si>
  <si>
    <t>PXD005025</t>
  </si>
  <si>
    <t>Vigna mungo</t>
  </si>
  <si>
    <t>Leaves</t>
  </si>
  <si>
    <t>V2;SV2;V6;SV6;S6;C2;C6;S2</t>
  </si>
  <si>
    <t>DOI: 10.1021/acs.jproteome.6b00211</t>
  </si>
  <si>
    <t>PXD027404</t>
  </si>
  <si>
    <t>Only one group: Adenocarcinoma</t>
  </si>
  <si>
    <t>PXD010785</t>
  </si>
  <si>
    <t>DMSO;xanthohumol C in DMSO;xanthohumol in DMSO</t>
  </si>
  <si>
    <t>DOI: 10.1371/journal.pone.0213469</t>
  </si>
  <si>
    <t>PXD022701</t>
  </si>
  <si>
    <t>Drosophila melanogaster</t>
  </si>
  <si>
    <t>Head</t>
  </si>
  <si>
    <t>C;E</t>
  </si>
  <si>
    <t>DOI: 10.1016/j.jbc.2021.100408</t>
  </si>
  <si>
    <t>HTLV1a;HTLV1c;Mock</t>
  </si>
  <si>
    <t>T-cell</t>
  </si>
  <si>
    <t>DOI: 10.1016/J.CELL.2025.06.023</t>
  </si>
  <si>
    <t>PXD028841</t>
  </si>
  <si>
    <t>BD;CON;FEP;MDD</t>
  </si>
  <si>
    <t>DOI: 10.1016/j.dib.2021.107495</t>
  </si>
  <si>
    <t>PXD015470</t>
  </si>
  <si>
    <t>Ovary</t>
  </si>
  <si>
    <t>AA;C</t>
  </si>
  <si>
    <t>DOI: 10.1007/s00204-020-02697-3</t>
  </si>
  <si>
    <t>PXD020238</t>
  </si>
  <si>
    <t>Sodium butyrate;Untreated</t>
  </si>
  <si>
    <t>Canis familiaris</t>
  </si>
  <si>
    <t>PXD020245</t>
  </si>
  <si>
    <t>Untreated_Ileum;Untreated_Distal Colon;Untreated_Proximal Colon;Treated_Ileum;Treated_Distal Colon;Treated_Proximal Colon</t>
  </si>
  <si>
    <t>Intestin</t>
  </si>
  <si>
    <t>DOI: 10.1016/j.xphs.2020.11.001</t>
  </si>
  <si>
    <t>PXD062946</t>
  </si>
  <si>
    <t>Crtl_antiFLAG;Crtl_antiGFP;hangover_FLAG;hangover_GFP</t>
  </si>
  <si>
    <t>PXD011804</t>
  </si>
  <si>
    <t>CAA;N;PDF</t>
  </si>
  <si>
    <t>DOI: 10.1021/acs.jproteome.9b00242</t>
  </si>
  <si>
    <t>DOI: 10.1093/nar/gkaf1349</t>
  </si>
  <si>
    <t>Nash;Norm;SS</t>
  </si>
  <si>
    <t>PXD005847</t>
  </si>
  <si>
    <t>LTQ Orbitrap Velos</t>
  </si>
  <si>
    <t>DOI: 10.1186/s12014-018-9186-0</t>
  </si>
  <si>
    <t>Case;Wild Control;Captive Control</t>
  </si>
  <si>
    <t>PXD030595</t>
  </si>
  <si>
    <t>Enhydra lutris nereis</t>
  </si>
  <si>
    <t>PXD056771</t>
  </si>
  <si>
    <t>DOI: 10.1073/PNAS.2420324122</t>
  </si>
  <si>
    <t>XLSX: PXD030595_Table_S1.xlsx</t>
  </si>
  <si>
    <t>TXT: PXD005847_experimentalDesignTemplate.txt</t>
  </si>
  <si>
    <t>TXT: PXD062946_experimentalDesignTemplate.txt</t>
  </si>
  <si>
    <t>TXT: PXD020245_metadata_Mouse.txt</t>
  </si>
  <si>
    <t>TXT: PXD020238_metadata_NaBut.txt</t>
  </si>
  <si>
    <t>XLSX: PXD015470_metadata.xlsx</t>
  </si>
  <si>
    <t>TXT: PXD005025_experimentalDesignTemplate.txt</t>
  </si>
  <si>
    <t>PXD022038_Conditionsassessed.xlsx</t>
  </si>
  <si>
    <t>PXD030132</t>
  </si>
  <si>
    <t>XLSX: PXD020722_44321_2021_BFEMMM202013257_MOESM2_ESM.xlsx</t>
  </si>
  <si>
    <t>PXD015422</t>
  </si>
  <si>
    <t>PXD020722  aparecia con ese identificador, por si acaso no futuro hai problemas con estes datasets</t>
  </si>
  <si>
    <t>Comments during assessment</t>
  </si>
  <si>
    <t>Low correlation (0,45). Pode ser porque hai 3 tecidos diferentes x 2 grupos de estudo (cancer, control), entón entendo que entre cancer ileon e control colon pode haber diferencias.</t>
  </si>
  <si>
    <t>Low correlaction (0,55). CAMBIO?</t>
  </si>
  <si>
    <t>Low correlation (0,45). CAMBIO?</t>
  </si>
  <si>
    <t>MAPLOT RARO. CAMBIO?</t>
  </si>
  <si>
    <t>MAPLOT RARO (parece que hai un Maplot arriba e outro abaixo, quedando a liña do 0 sin nada). CAMBIO?</t>
  </si>
  <si>
    <t>BrainPhys;IDMA;StemCell</t>
  </si>
  <si>
    <t>PXD060778</t>
  </si>
  <si>
    <t>TRPV2;WT</t>
  </si>
  <si>
    <t>DOI: 10.1186/s12964-026-02729-y</t>
  </si>
  <si>
    <t>PXD033095</t>
  </si>
  <si>
    <t>siBPGMcontrol;mockcontrol;siBPGMhyperosm;mockhyperosm</t>
  </si>
  <si>
    <t>DOI: 10.1111/apha.14242</t>
  </si>
  <si>
    <t>Maplot raro</t>
  </si>
  <si>
    <t>Tissue (summary)</t>
  </si>
  <si>
    <t>Breast</t>
  </si>
  <si>
    <t>Strains</t>
  </si>
  <si>
    <t>Tissue (specific)</t>
  </si>
  <si>
    <t>Cortical organoids; Stem cells</t>
  </si>
  <si>
    <t>Monocyte</t>
  </si>
  <si>
    <t>Adipocyte</t>
  </si>
  <si>
    <t>Mammary gland epithelial cell</t>
  </si>
  <si>
    <t>Yes</t>
  </si>
  <si>
    <t>Inmune</t>
  </si>
  <si>
    <t>Adipose tissue</t>
  </si>
  <si>
    <t>Superior mesenteric artery</t>
  </si>
  <si>
    <t>No</t>
  </si>
  <si>
    <t>Cerebellar tissue</t>
  </si>
  <si>
    <t>Coronary artery (endothelial cells)</t>
  </si>
  <si>
    <t>Colon (ephitelial cells)</t>
  </si>
  <si>
    <t>Urothelial cell</t>
  </si>
  <si>
    <t>Urinary-related</t>
  </si>
  <si>
    <t>Bacteria</t>
  </si>
  <si>
    <t>Cardiomyocytes;Macrophages</t>
  </si>
  <si>
    <t>Ovarian granulosa cell tumors</t>
  </si>
  <si>
    <t>Ovarian-related</t>
  </si>
  <si>
    <t>Kidney</t>
  </si>
  <si>
    <t>Renal cells</t>
  </si>
  <si>
    <t>Breast tumoral cells</t>
  </si>
  <si>
    <t>Mesenquimal cells</t>
  </si>
  <si>
    <t>Bone marrow</t>
  </si>
  <si>
    <t>Aortic valve</t>
  </si>
  <si>
    <t>Pancreas cells</t>
  </si>
  <si>
    <t>Hippocampus;Muscle;Blood</t>
  </si>
  <si>
    <t>Aqueus humor</t>
  </si>
  <si>
    <t>Prostate (epithelial cells)</t>
  </si>
  <si>
    <t>Prostate</t>
  </si>
  <si>
    <t xml:space="preserve">Multiple myeloma cell </t>
  </si>
  <si>
    <t>Chorionic villous tissue</t>
  </si>
  <si>
    <t>Erythrocytes</t>
  </si>
  <si>
    <t>Retinal pigment epithelial cells</t>
  </si>
  <si>
    <t>Mesenchymal hepatocarcinoma cell</t>
  </si>
  <si>
    <t>Leukemia cell</t>
  </si>
  <si>
    <t>Skeletal muscle cells</t>
  </si>
  <si>
    <t>Muscle</t>
  </si>
  <si>
    <t>Uveal Melanoma Cells </t>
  </si>
  <si>
    <t>Ephitelium</t>
  </si>
  <si>
    <t>Osteoblast (xenografts)</t>
  </si>
  <si>
    <t>Bone</t>
  </si>
  <si>
    <t>Adipocytes </t>
  </si>
  <si>
    <t>Breast Cancer Cells</t>
  </si>
  <si>
    <t>Renal</t>
  </si>
  <si>
    <t>S2 cells</t>
  </si>
  <si>
    <t>Hippocampus</t>
  </si>
  <si>
    <t>Control</t>
  </si>
  <si>
    <t>Case</t>
  </si>
  <si>
    <t>wt</t>
  </si>
  <si>
    <t>WT</t>
  </si>
  <si>
    <t>C</t>
  </si>
  <si>
    <t>BJAB</t>
  </si>
  <si>
    <t>Ctl</t>
  </si>
  <si>
    <t>TRPV2</t>
  </si>
  <si>
    <t>Unfixed</t>
  </si>
  <si>
    <t>Young</t>
  </si>
  <si>
    <t>DMSO</t>
  </si>
  <si>
    <t>ko</t>
  </si>
  <si>
    <t>KO</t>
  </si>
  <si>
    <t>T</t>
  </si>
  <si>
    <t>IgG</t>
  </si>
  <si>
    <t>LIM</t>
  </si>
  <si>
    <t>24h</t>
  </si>
  <si>
    <t>TS</t>
  </si>
  <si>
    <t>Hom</t>
  </si>
  <si>
    <t>UP</t>
  </si>
  <si>
    <t>Women</t>
  </si>
  <si>
    <t>CTR</t>
  </si>
  <si>
    <t>Con</t>
  </si>
  <si>
    <t>0h</t>
  </si>
  <si>
    <t>UW</t>
  </si>
  <si>
    <t>siBPGMcontrol</t>
  </si>
  <si>
    <t>CI3_M5</t>
  </si>
  <si>
    <t>WT_No</t>
  </si>
  <si>
    <t>VEGFA</t>
  </si>
  <si>
    <t>OSCC</t>
  </si>
  <si>
    <t>M8</t>
  </si>
  <si>
    <t>WT_CTSB</t>
  </si>
  <si>
    <t>Responder</t>
  </si>
  <si>
    <t>WT_D0</t>
  </si>
  <si>
    <t>HC</t>
  </si>
  <si>
    <t>ctrl</t>
  </si>
  <si>
    <t>Cancer</t>
  </si>
  <si>
    <t>Sham</t>
  </si>
  <si>
    <t>CTL</t>
  </si>
  <si>
    <t>mockcontrol</t>
  </si>
  <si>
    <t>fl/fl_No</t>
  </si>
  <si>
    <t>CI3_WT</t>
  </si>
  <si>
    <t>AD_CTSB</t>
  </si>
  <si>
    <t>Non-Responder</t>
  </si>
  <si>
    <t>Mutant</t>
  </si>
  <si>
    <t>depressed/SRI</t>
  </si>
  <si>
    <t>SMA</t>
  </si>
  <si>
    <t>LTPP</t>
  </si>
  <si>
    <t>KO_D0</t>
  </si>
  <si>
    <t>SNx</t>
  </si>
  <si>
    <t>Ctrl</t>
  </si>
  <si>
    <t>AA</t>
  </si>
  <si>
    <t>Sodium butyrate</t>
  </si>
  <si>
    <t>XAV939</t>
  </si>
  <si>
    <t>DMSO_24hr</t>
  </si>
  <si>
    <t>ERCO_24hr</t>
  </si>
  <si>
    <t>E</t>
  </si>
  <si>
    <t>Mock</t>
  </si>
  <si>
    <t>MDD</t>
  </si>
  <si>
    <t>Untreated</t>
  </si>
  <si>
    <t>Crtl_antiFLAG</t>
  </si>
  <si>
    <t>hangover_FLAG</t>
  </si>
  <si>
    <t>Wild Control</t>
  </si>
  <si>
    <t>acute</t>
  </si>
  <si>
    <t>Severe</t>
  </si>
  <si>
    <t>BrainPhys</t>
  </si>
  <si>
    <t>IDMA</t>
  </si>
  <si>
    <t>recovery</t>
  </si>
  <si>
    <t>MP</t>
  </si>
  <si>
    <t>SPI1OE</t>
  </si>
  <si>
    <t>Mild</t>
  </si>
  <si>
    <t>DOI: 10.1038/s44161-024-00471-7</t>
  </si>
  <si>
    <t>CP</t>
  </si>
  <si>
    <t>NI</t>
  </si>
  <si>
    <t>ARC</t>
  </si>
  <si>
    <t>SPI1KD</t>
  </si>
  <si>
    <t>H_3rdT</t>
  </si>
  <si>
    <t>Dex+Spi10</t>
  </si>
  <si>
    <t>Vehicle</t>
  </si>
  <si>
    <t>EV.VH</t>
  </si>
  <si>
    <t>AR_3rdT</t>
  </si>
  <si>
    <t>R1881</t>
  </si>
  <si>
    <t>DC</t>
  </si>
  <si>
    <t>RWPE1/KSFM;RWPE1/MEMa;22Rv;LNCaP;PC3</t>
  </si>
  <si>
    <t>PC3</t>
  </si>
  <si>
    <t>22Rv</t>
  </si>
  <si>
    <t>Veh</t>
  </si>
  <si>
    <t>Healthy_F</t>
  </si>
  <si>
    <t>AD_F</t>
  </si>
  <si>
    <t>siPRDX6</t>
  </si>
  <si>
    <t>D</t>
  </si>
  <si>
    <t>siNC</t>
  </si>
  <si>
    <t>A</t>
  </si>
  <si>
    <t>PD-/LRRK2-</t>
  </si>
  <si>
    <t>PD+/LRRK2+</t>
  </si>
  <si>
    <t>fed_GRKO_Z18</t>
  </si>
  <si>
    <t>fed_GFP_Z18</t>
  </si>
  <si>
    <t>HFD_Veh_Insulin</t>
  </si>
  <si>
    <t>HFD_612_Insulin</t>
  </si>
  <si>
    <t>DOI: 10.3390/ijms27021047</t>
  </si>
  <si>
    <t>FCV_BJ616</t>
  </si>
  <si>
    <t>Duo_WT</t>
  </si>
  <si>
    <t>Duo_KO</t>
  </si>
  <si>
    <t>non-tumor contralateral breast tissues</t>
  </si>
  <si>
    <t>SOG_D15</t>
  </si>
  <si>
    <t>M2</t>
  </si>
  <si>
    <t>MT</t>
  </si>
  <si>
    <t>L</t>
  </si>
  <si>
    <t>S</t>
  </si>
  <si>
    <t>HI</t>
  </si>
  <si>
    <t>GABI</t>
  </si>
  <si>
    <t>N</t>
  </si>
  <si>
    <t>M0</t>
  </si>
  <si>
    <t>MC</t>
  </si>
  <si>
    <t>palbociclib</t>
  </si>
  <si>
    <t>3T3L1_Co</t>
  </si>
  <si>
    <t>HTLV1a</t>
  </si>
  <si>
    <t>primary breast tumor tissues</t>
  </si>
  <si>
    <t>D180_Ctrl</t>
  </si>
  <si>
    <t>D180_1.5mg</t>
  </si>
  <si>
    <t>NACL</t>
  </si>
  <si>
    <t>MI_D15</t>
  </si>
  <si>
    <t>3T3L1_Vas</t>
  </si>
  <si>
    <t>xanthohumol C in DMSO</t>
  </si>
  <si>
    <t>CON</t>
  </si>
  <si>
    <t>Norm</t>
  </si>
  <si>
    <t>Untreated_Ileum</t>
  </si>
  <si>
    <t>Nash</t>
  </si>
  <si>
    <t>DMSO;OXS008450;OXS008450.OXS008255.1uM;OXS008450.OXS008255.25uM;OXS008450.OXS008255.5uM;OXS008450.Paclitaxel;OXS008483</t>
  </si>
  <si>
    <t>OXS008450.Paclitaxel</t>
  </si>
  <si>
    <t>Hsp17_Solubl</t>
  </si>
  <si>
    <t>Hsp17_Insolubl</t>
  </si>
  <si>
    <t>vehicle</t>
  </si>
  <si>
    <t>Treated_Ileum</t>
  </si>
  <si>
    <t>C6</t>
  </si>
  <si>
    <t>V6</t>
  </si>
  <si>
    <t>CCA</t>
  </si>
  <si>
    <t>whi2</t>
  </si>
  <si>
    <t>PXD076216</t>
  </si>
  <si>
    <t>Cerbrospinal fluid</t>
  </si>
  <si>
    <t>NoPOTS;POTS</t>
  </si>
  <si>
    <t>NoPOTS</t>
  </si>
  <si>
    <t>POTS</t>
  </si>
  <si>
    <t>TSV: sdrf.tsv</t>
  </si>
  <si>
    <t>Conditions assessed in volcanoplot from paper: POTS vs noPOTS. There are also information about severity of encephalomyelitis/chronic fatigue syndrome (three different groups)</t>
  </si>
  <si>
    <t>DOI: 10.1038/s41598-026-46965-1</t>
  </si>
  <si>
    <t>CZS+</t>
  </si>
  <si>
    <t>AdultSperm</t>
  </si>
  <si>
    <t>Adult;AdultSperm;Young</t>
  </si>
  <si>
    <t>Fixed</t>
  </si>
  <si>
    <t>Unfixed;Fixed</t>
  </si>
  <si>
    <t>Control;cKO</t>
  </si>
  <si>
    <t>cKO</t>
  </si>
  <si>
    <t>BJAB;MEC1</t>
  </si>
  <si>
    <t>MEC1</t>
  </si>
  <si>
    <t>ARID1A</t>
  </si>
  <si>
    <t>ARID1A;IgG</t>
  </si>
  <si>
    <t>CTL;LIM</t>
  </si>
  <si>
    <t>Man;Women</t>
  </si>
  <si>
    <t>Man</t>
  </si>
  <si>
    <t>control;depressed/no SRI;depressed/SRI</t>
  </si>
  <si>
    <t>control</t>
  </si>
  <si>
    <t>Cancer;Normal</t>
  </si>
  <si>
    <t>Normal</t>
  </si>
  <si>
    <t>E;D</t>
  </si>
  <si>
    <t>G1;G2;G3;G4;G5;G6</t>
  </si>
  <si>
    <t>G5</t>
  </si>
  <si>
    <t>G6</t>
  </si>
  <si>
    <t>Scr_d4;sgALAS1_d4;Scr_d6;sgALAS1_d6</t>
  </si>
  <si>
    <t>Scr_d6</t>
  </si>
  <si>
    <t>sgALAS1_d6</t>
  </si>
  <si>
    <t>Nutlin_ER;DMSO_ER</t>
  </si>
  <si>
    <t>DMSO_ER</t>
  </si>
  <si>
    <t>Nutlin_ER</t>
  </si>
  <si>
    <t>wt_mock;wt_LPS;ko_mock;ko_LPS</t>
  </si>
  <si>
    <t>wt_LPS</t>
  </si>
  <si>
    <t>ko_LPS</t>
  </si>
  <si>
    <t>St-KO;St-WT;Un-KO;Un-WT</t>
  </si>
  <si>
    <t>St-WT</t>
  </si>
  <si>
    <t>St-KO</t>
  </si>
  <si>
    <t>Group1;Group2;Group3;Group4</t>
  </si>
  <si>
    <t>Group4</t>
  </si>
  <si>
    <t>Group1</t>
  </si>
  <si>
    <t>C;DM</t>
  </si>
  <si>
    <t>DM</t>
  </si>
  <si>
    <t>IPFDistalAirway;IPFHCAirway;IPF_ABEC;IPF_Alveoli;IPF_Fibroblastic_Foci;NonFibroticControlAirway;Non_fibrotic_Control_Alveoli</t>
  </si>
  <si>
    <t>Non_fibrotic_Control_Alveoli</t>
  </si>
  <si>
    <t>IPFDistalAirway</t>
  </si>
  <si>
    <t>A;B</t>
  </si>
  <si>
    <t>B</t>
  </si>
  <si>
    <t>Myc.M.aMum1.</t>
  </si>
  <si>
    <t>Myc.M.aMvc.</t>
  </si>
  <si>
    <t>P11</t>
  </si>
  <si>
    <t>P38</t>
  </si>
  <si>
    <t>P11;P38</t>
  </si>
  <si>
    <t>pca;bph</t>
  </si>
  <si>
    <t>bph</t>
  </si>
  <si>
    <t>pca</t>
  </si>
  <si>
    <t>ctrl;IP</t>
  </si>
  <si>
    <t>IP</t>
  </si>
  <si>
    <t>minus;plus</t>
  </si>
  <si>
    <t>minus</t>
  </si>
  <si>
    <t>plus</t>
  </si>
  <si>
    <t>G1;G2;G3</t>
  </si>
  <si>
    <t>G1</t>
  </si>
  <si>
    <t>G3</t>
  </si>
  <si>
    <t>MS instrument (summary)</t>
  </si>
  <si>
    <t>TOF-based</t>
  </si>
  <si>
    <t>Orbitrap-based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</si>
</sst>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1" applyFont="1"/>
    <xf numFmtId="0" fontId="5" fillId="0" borderId="0" xfId="0" applyFont="1"/>
  </cellXfs>
  <cellStyles count="7">
    <cellStyle name="Hipervínculo" xfId="1" builtinId="8"/>
    <cellStyle name="Normal" xfId="0" builtinId="0"/>
    <cellStyle name="Normal 2" xfId="2" xr:uid="{7D5E192D-072E-4AFA-A1B1-933EC1E53B37}"/>
    <cellStyle name="Normal 2 2" xfId="4" xr:uid="{E8ED6F68-3A09-4796-84B8-11E550D8CE3B}"/>
    <cellStyle name="Normal 2 2 2" xfId="5" xr:uid="{40E1C6ED-6FCF-495A-A1D4-B4A2426C01C2}"/>
    <cellStyle name="Normal 3" xfId="3" xr:uid="{71C27159-B92E-4AF4-A5CD-DFF302959370}"/>
    <cellStyle name="Normal 3 2" xfId="6" xr:uid="{21401580-35CA-4661-BFE1-65EB6A93EAAE}"/>
  </cellStyles>
  <dxfs count="0"/>
  <tableStyles count="0" defaultTableStyle="TableStyleMedium2" defaultPivotStyle="PivotStyleLight16"/>
  <colors>
    <mruColors>
      <color rgb="FFFF9999"/>
      <color rgb="FF6C8092"/>
      <color rgb="FF0361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sevjournals.onlinelibrary.wiley.com/doi/10.1002/jex2.70108" TargetMode="External"/><Relationship Id="rId21" Type="http://schemas.openxmlformats.org/officeDocument/2006/relationships/hyperlink" Target="https://link.springer.com/article/10.1007/s12195-025-00843-4" TargetMode="External"/><Relationship Id="rId42" Type="http://schemas.openxmlformats.org/officeDocument/2006/relationships/hyperlink" Target="https://elifesciences.org/articles/77937" TargetMode="External"/><Relationship Id="rId47" Type="http://schemas.openxmlformats.org/officeDocument/2006/relationships/hyperlink" Target="https://www.sciencedirect.com/science/article/pii/S0014299925002195?via%3Dihub" TargetMode="External"/><Relationship Id="rId63" Type="http://schemas.openxmlformats.org/officeDocument/2006/relationships/hyperlink" Target="https://www.mdpi.com/2076-3921/12/6/1153" TargetMode="External"/><Relationship Id="rId68" Type="http://schemas.openxmlformats.org/officeDocument/2006/relationships/hyperlink" Target="http://jbc.org/article/S0021-9258(22)01196-6/fulltext" TargetMode="External"/><Relationship Id="rId84" Type="http://schemas.openxmlformats.org/officeDocument/2006/relationships/hyperlink" Target="https://www.mdpi.com/1422-0067/27/2/1047" TargetMode="External"/><Relationship Id="rId16" Type="http://schemas.openxmlformats.org/officeDocument/2006/relationships/hyperlink" Target="https://febs.onlinelibrary.wiley.com/doi/10.1002/1878-0261.70019" TargetMode="External"/><Relationship Id="rId11" Type="http://schemas.openxmlformats.org/officeDocument/2006/relationships/hyperlink" Target="https://www.frontiersin.org/journals/medicine/articles/10.3389/fmed.2022.873483/full" TargetMode="External"/><Relationship Id="rId32" Type="http://schemas.openxmlformats.org/officeDocument/2006/relationships/hyperlink" Target="https://www.mdpi.com/2076-3921/13/11/1340" TargetMode="External"/><Relationship Id="rId37" Type="http://schemas.openxmlformats.org/officeDocument/2006/relationships/hyperlink" Target="https://www.mdpi.com/2076-3921/13/11/1340" TargetMode="External"/><Relationship Id="rId53" Type="http://schemas.openxmlformats.org/officeDocument/2006/relationships/hyperlink" Target="https://www.nature.com/articles/s41598-025-93894-6" TargetMode="External"/><Relationship Id="rId58" Type="http://schemas.openxmlformats.org/officeDocument/2006/relationships/hyperlink" Target="https://doi.org/10.1073/pnas.1922076117" TargetMode="External"/><Relationship Id="rId74" Type="http://schemas.openxmlformats.org/officeDocument/2006/relationships/hyperlink" Target="https://www.cell.com/cell/fulltext/S0092-8674(25)00689-0?_returnURL=https%3A%2F%2Flinkinghub.elsevier.com%2Fretrieve%2Fpii%2FS0092867425006890%3Fshowall%3Dtrue" TargetMode="External"/><Relationship Id="rId79" Type="http://schemas.openxmlformats.org/officeDocument/2006/relationships/hyperlink" Target="https://academic.oup.com/nar/article/53/22/gkaf1349/8382375?login=false" TargetMode="External"/><Relationship Id="rId5" Type="http://schemas.openxmlformats.org/officeDocument/2006/relationships/hyperlink" Target="https://www.jbc.org/article/S0021-9258(25)02768-1/fulltext" TargetMode="External"/><Relationship Id="rId19" Type="http://schemas.openxmlformats.org/officeDocument/2006/relationships/hyperlink" Target="https://www.nature.com/articles/s44259-024-00050-7" TargetMode="External"/><Relationship Id="rId14" Type="http://schemas.openxmlformats.org/officeDocument/2006/relationships/hyperlink" Target="https://www.jbc.org/article/S0021-9258(25)00235-2/fulltext" TargetMode="External"/><Relationship Id="rId22" Type="http://schemas.openxmlformats.org/officeDocument/2006/relationships/hyperlink" Target="https://academic.oup.com/molehr/article/31/4/gaaf055/8326878?login=false" TargetMode="External"/><Relationship Id="rId27" Type="http://schemas.openxmlformats.org/officeDocument/2006/relationships/hyperlink" Target="https://www.sciencedirect.com/science/article/pii/S0003996925001475?via%3Dihub" TargetMode="External"/><Relationship Id="rId30" Type="http://schemas.openxmlformats.org/officeDocument/2006/relationships/hyperlink" Target="https://www.mdpi.com/2077-0383/13/23/7287" TargetMode="External"/><Relationship Id="rId35" Type="http://schemas.openxmlformats.org/officeDocument/2006/relationships/hyperlink" Target="https://link.springer.com/article/10.1007/s00018-023-04900-x" TargetMode="External"/><Relationship Id="rId43" Type="http://schemas.openxmlformats.org/officeDocument/2006/relationships/hyperlink" Target="https://www.sciencedirect.com/science/article/pii/S2213231721003724?via%3Dihub" TargetMode="External"/><Relationship Id="rId48" Type="http://schemas.openxmlformats.org/officeDocument/2006/relationships/hyperlink" Target="https://link.springer.com/article/10.15252/emmm.202013257" TargetMode="External"/><Relationship Id="rId56" Type="http://schemas.openxmlformats.org/officeDocument/2006/relationships/hyperlink" Target="https://www.tandfonline.com/doi/full/10.1080/17435390.2020.1851418" TargetMode="External"/><Relationship Id="rId64" Type="http://schemas.openxmlformats.org/officeDocument/2006/relationships/hyperlink" Target="https://www.frontiersin.org/journals/immunology/articles/10.3389/fimmu.2023.1162159/full" TargetMode="External"/><Relationship Id="rId69" Type="http://schemas.openxmlformats.org/officeDocument/2006/relationships/hyperlink" Target="https://www.sciencedirect.com/science/article/pii/S1476558625001459?via%3Dihub" TargetMode="External"/><Relationship Id="rId77" Type="http://schemas.openxmlformats.org/officeDocument/2006/relationships/hyperlink" Target="https://jpharmsci.org/article/S0022-3549(20)30685-7/fulltext" TargetMode="External"/><Relationship Id="rId8" Type="http://schemas.openxmlformats.org/officeDocument/2006/relationships/hyperlink" Target="https://journals.plos.org/plospathogens/article?id=10.1371/journal.ppat.1010176" TargetMode="External"/><Relationship Id="rId51" Type="http://schemas.openxmlformats.org/officeDocument/2006/relationships/hyperlink" Target="https://pubs.rsc.org/en/content/articlelanding/2024/mo/d4mo00112e" TargetMode="External"/><Relationship Id="rId72" Type="http://schemas.openxmlformats.org/officeDocument/2006/relationships/hyperlink" Target="https://journals.plos.org/plosone/article?id=10.1371/journal.pone.0213469" TargetMode="External"/><Relationship Id="rId80" Type="http://schemas.openxmlformats.org/officeDocument/2006/relationships/hyperlink" Target="https://link.springer.com/article/10.1186/s12014-018-9186-0" TargetMode="External"/><Relationship Id="rId85" Type="http://schemas.openxmlformats.org/officeDocument/2006/relationships/hyperlink" Target="https://www.nature.com/articles/s41598-026-46965-1" TargetMode="External"/><Relationship Id="rId3" Type="http://schemas.openxmlformats.org/officeDocument/2006/relationships/hyperlink" Target="https://www.nature.com/articles/s41467-022-29486-z" TargetMode="External"/><Relationship Id="rId12" Type="http://schemas.openxmlformats.org/officeDocument/2006/relationships/hyperlink" Target="https://doi.org/10.1038/s42255-021-00420-9" TargetMode="External"/><Relationship Id="rId17" Type="http://schemas.openxmlformats.org/officeDocument/2006/relationships/hyperlink" Target="https://www.biorxiv.org/content/10.1101/2023.09.16.558067v2" TargetMode="External"/><Relationship Id="rId25" Type="http://schemas.openxmlformats.org/officeDocument/2006/relationships/hyperlink" Target="https://aacrjournals.org/cancerres/article/doi/10.1158/0008-5472.CAN-25-1904/771884/The-Aging-Microenvironment-Is-a-Determinant-of" TargetMode="External"/><Relationship Id="rId33" Type="http://schemas.openxmlformats.org/officeDocument/2006/relationships/hyperlink" Target="https://www.mdpi.com/1422-0067/24/20/15412" TargetMode="External"/><Relationship Id="rId38" Type="http://schemas.openxmlformats.org/officeDocument/2006/relationships/hyperlink" Target="https://journals.plos.org/plosone/article?id=10.1371/journal.pone.0322090" TargetMode="External"/><Relationship Id="rId46" Type="http://schemas.openxmlformats.org/officeDocument/2006/relationships/hyperlink" Target="https://academic.oup.com/endo/article/164/10/bqad128/7248848?login=false" TargetMode="External"/><Relationship Id="rId59" Type="http://schemas.openxmlformats.org/officeDocument/2006/relationships/hyperlink" Target="https://academic.oup.com/pcp/article/62/6/1012/6290338?login=false" TargetMode="External"/><Relationship Id="rId67" Type="http://schemas.openxmlformats.org/officeDocument/2006/relationships/hyperlink" Target="https://open-research-europe.ec.europa.eu/articles/3-88/v2" TargetMode="External"/><Relationship Id="rId20" Type="http://schemas.openxmlformats.org/officeDocument/2006/relationships/hyperlink" Target="https://www.jbc.org/article/S0021-9258(25)00249-2/fulltext" TargetMode="External"/><Relationship Id="rId41" Type="http://schemas.openxmlformats.org/officeDocument/2006/relationships/hyperlink" Target="https://pubs.acs.org/doi/10.1021/acsomega.2c05487" TargetMode="External"/><Relationship Id="rId54" Type="http://schemas.openxmlformats.org/officeDocument/2006/relationships/hyperlink" Target="https://link.springer.com/article/10.1186/s12974-024-03022-w" TargetMode="External"/><Relationship Id="rId62" Type="http://schemas.openxmlformats.org/officeDocument/2006/relationships/hyperlink" Target="https://www.mdpi.com/2227-9059/10/2/239" TargetMode="External"/><Relationship Id="rId70" Type="http://schemas.openxmlformats.org/officeDocument/2006/relationships/hyperlink" Target="https://www.nature.com/articles/s41467-025-66950-y" TargetMode="External"/><Relationship Id="rId75" Type="http://schemas.openxmlformats.org/officeDocument/2006/relationships/hyperlink" Target="https://www.sciencedirect.com/science/article/pii/S2352340921007769?via%3Dihub" TargetMode="External"/><Relationship Id="rId83" Type="http://schemas.openxmlformats.org/officeDocument/2006/relationships/hyperlink" Target="https://pmc.ncbi.nlm.nih.gov/articles/PMC11290557/" TargetMode="External"/><Relationship Id="rId1" Type="http://schemas.openxmlformats.org/officeDocument/2006/relationships/hyperlink" Target="https://doi.org/10.1016/j.stemcr.2022.04.003" TargetMode="External"/><Relationship Id="rId6" Type="http://schemas.openxmlformats.org/officeDocument/2006/relationships/hyperlink" Target="https://pubs.acs.org/doi/10.1021/acs.jproteome.3c00677" TargetMode="External"/><Relationship Id="rId15" Type="http://schemas.openxmlformats.org/officeDocument/2006/relationships/hyperlink" Target="https://febs.onlinelibrary.wiley.com/doi/10.1002/1878-0261.70019" TargetMode="External"/><Relationship Id="rId23" Type="http://schemas.openxmlformats.org/officeDocument/2006/relationships/hyperlink" Target="https://www.oarsiopenjournal.com/article/S2665-9131(25)00100-1/fulltext" TargetMode="External"/><Relationship Id="rId28" Type="http://schemas.openxmlformats.org/officeDocument/2006/relationships/hyperlink" Target="https://onlinelibrary.wiley.com/doi/10.1111/acel.70242" TargetMode="External"/><Relationship Id="rId36" Type="http://schemas.openxmlformats.org/officeDocument/2006/relationships/hyperlink" Target="https://www.mdpi.com/2072-6694/15/20/4997" TargetMode="External"/><Relationship Id="rId49" Type="http://schemas.openxmlformats.org/officeDocument/2006/relationships/hyperlink" Target="https://www.cell.com/cell-reports/fulltext/S2211-1247(20)30514-3?_returnURL=https%3A%2F%2Flinkinghub.elsevier.com%2Fretrieve%2Fpii%2FS2211124720305143%3Fshowall%3Dtrue" TargetMode="External"/><Relationship Id="rId57" Type="http://schemas.openxmlformats.org/officeDocument/2006/relationships/hyperlink" Target="https://www.sciencedirect.com/science/article/abs/pii/S0378874120333468?via%3Dihub" TargetMode="External"/><Relationship Id="rId10" Type="http://schemas.openxmlformats.org/officeDocument/2006/relationships/hyperlink" Target="https://www.nature.com/articles/s41467-025-64360-8" TargetMode="External"/><Relationship Id="rId31" Type="http://schemas.openxmlformats.org/officeDocument/2006/relationships/hyperlink" Target="https://www.mdpi.com/2077-0383/13/23/7287" TargetMode="External"/><Relationship Id="rId44" Type="http://schemas.openxmlformats.org/officeDocument/2006/relationships/hyperlink" Target="https://www.dovepress.com/serum-klkb1-as-a-potential-prognostic-biomarker-for-hepatocellular-car-peer-reviewed-fulltext-article-JHC" TargetMode="External"/><Relationship Id="rId52" Type="http://schemas.openxmlformats.org/officeDocument/2006/relationships/hyperlink" Target="https://www.sciencedirect.com/science/article/pii/S2352340919304792?via%3Dihub" TargetMode="External"/><Relationship Id="rId60" Type="http://schemas.openxmlformats.org/officeDocument/2006/relationships/hyperlink" Target="https://www.frontiersin.org/journals/oncology/articles/10.3389/fonc.2020.00945/full" TargetMode="External"/><Relationship Id="rId65" Type="http://schemas.openxmlformats.org/officeDocument/2006/relationships/hyperlink" Target="https://doi.org/10.1016/j.isci.2022.104787" TargetMode="External"/><Relationship Id="rId73" Type="http://schemas.openxmlformats.org/officeDocument/2006/relationships/hyperlink" Target="https://doi.org/10.1016/j.jbc.2021.100408" TargetMode="External"/><Relationship Id="rId78" Type="http://schemas.openxmlformats.org/officeDocument/2006/relationships/hyperlink" Target="https://pubs.acs.org/doi/10.1021/acs.jproteome.9b00242" TargetMode="External"/><Relationship Id="rId81" Type="http://schemas.openxmlformats.org/officeDocument/2006/relationships/hyperlink" Target="https://www.pnas.org/doi/10.1073/pnas.2420324122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s://www.cell.com/cell/fulltext/S0092-8674(25)01233-4?_returnURL=https%3A%2F%2Flinkinghub.elsevier.com%2Fretrieve%2Fpii%2FS0092867425012334%3Fshowall%3Dtrue" TargetMode="External"/><Relationship Id="rId9" Type="http://schemas.openxmlformats.org/officeDocument/2006/relationships/hyperlink" Target="https://insight.jci.org/articles/view/164751" TargetMode="External"/><Relationship Id="rId13" Type="http://schemas.openxmlformats.org/officeDocument/2006/relationships/hyperlink" Target="https://pmc.ncbi.nlm.nih.gov/articles/PMC7055541/" TargetMode="External"/><Relationship Id="rId18" Type="http://schemas.openxmlformats.org/officeDocument/2006/relationships/hyperlink" Target="https://www.nature.com/articles/s44259-024-00050-7" TargetMode="External"/><Relationship Id="rId39" Type="http://schemas.openxmlformats.org/officeDocument/2006/relationships/hyperlink" Target="https://www.biorxiv.org/content/10.64898/2026.01.08.698518v1" TargetMode="External"/><Relationship Id="rId34" Type="http://schemas.openxmlformats.org/officeDocument/2006/relationships/hyperlink" Target="https://www.sciencedirect.com/science/article/pii/S2212877824001145?via%3Dihub" TargetMode="External"/><Relationship Id="rId50" Type="http://schemas.openxmlformats.org/officeDocument/2006/relationships/hyperlink" Target="https://pubmed.ncbi.nlm.nih.gov/39817510/" TargetMode="External"/><Relationship Id="rId55" Type="http://schemas.openxmlformats.org/officeDocument/2006/relationships/hyperlink" Target="https://www.science.org/doi/10.1126/science.adg0995" TargetMode="External"/><Relationship Id="rId76" Type="http://schemas.openxmlformats.org/officeDocument/2006/relationships/hyperlink" Target="https://link.springer.com/article/10.1007/s00204-020-02697-3" TargetMode="External"/><Relationship Id="rId7" Type="http://schemas.openxmlformats.org/officeDocument/2006/relationships/hyperlink" Target="https://insight.jci.org/articles/view/189636" TargetMode="External"/><Relationship Id="rId71" Type="http://schemas.openxmlformats.org/officeDocument/2006/relationships/hyperlink" Target="https://pubs.acs.org/doi/abs/10.1021/acs.jproteome.6b00211" TargetMode="External"/><Relationship Id="rId2" Type="http://schemas.openxmlformats.org/officeDocument/2006/relationships/hyperlink" Target="https://journals.asm.org/doi/10.1128/jvi.00790-24" TargetMode="External"/><Relationship Id="rId29" Type="http://schemas.openxmlformats.org/officeDocument/2006/relationships/hyperlink" Target="https://link.springer.com/article/10.1186/s13075-025-03489-9" TargetMode="External"/><Relationship Id="rId24" Type="http://schemas.openxmlformats.org/officeDocument/2006/relationships/hyperlink" Target="https://link.springer.com/article/10.1186/s12014-025-09549-1" TargetMode="External"/><Relationship Id="rId40" Type="http://schemas.openxmlformats.org/officeDocument/2006/relationships/hyperlink" Target="https://www.micropublication.org/journals/biology/micropub-biology-001922" TargetMode="External"/><Relationship Id="rId45" Type="http://schemas.openxmlformats.org/officeDocument/2006/relationships/hyperlink" Target="https://link.springer.com/article/10.15252/emmm.202013257" TargetMode="External"/><Relationship Id="rId66" Type="http://schemas.openxmlformats.org/officeDocument/2006/relationships/hyperlink" Target="https://www.jbc.org/article/S0021-9258(20)39100-6/fulltext" TargetMode="External"/><Relationship Id="rId61" Type="http://schemas.openxmlformats.org/officeDocument/2006/relationships/hyperlink" Target="https://link.springer.com/article/10.1186/s12979-024-00457-w" TargetMode="External"/><Relationship Id="rId82" Type="http://schemas.openxmlformats.org/officeDocument/2006/relationships/hyperlink" Target="https://link.springer.com/article/10.1186/s12964-026-02729-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ponline.org/article/S1535-9476(25)00561-4/fulltext" TargetMode="External"/><Relationship Id="rId2" Type="http://schemas.openxmlformats.org/officeDocument/2006/relationships/hyperlink" Target="https://onlinelibrary.wiley.com/doi/10.1002/jmv.29775" TargetMode="External"/><Relationship Id="rId1" Type="http://schemas.openxmlformats.org/officeDocument/2006/relationships/hyperlink" Target="https://www.nature.com/articles/s41467-025-61054-z" TargetMode="External"/><Relationship Id="rId4" Type="http://schemas.openxmlformats.org/officeDocument/2006/relationships/hyperlink" Target="https://www.cell.com/cancer-cell/fulltext/S1535-6108(25)00060-1?_returnURL=https%3A%2F%2Flinkinghub.elsevier.com%2Fretrieve%2Fpii%2FS1535610825000601%3Fshowall%3D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4AC8-88B5-4543-8C52-FD30450BEA57}">
  <dimension ref="A1:S102"/>
  <sheetViews>
    <sheetView tabSelected="1" zoomScale="80" zoomScaleNormal="80" workbookViewId="0">
      <pane ySplit="1" topLeftCell="A2" activePane="bottomLeft" state="frozen"/>
      <selection pane="bottomLeft" activeCell="B3" sqref="B3"/>
    </sheetView>
  </sheetViews>
  <sheetFormatPr baseColWidth="10" defaultRowHeight="14.6" x14ac:dyDescent="0.4"/>
  <cols>
    <col min="2" max="2" width="13" bestFit="1" customWidth="1"/>
    <col min="3" max="3" width="11.3828125" customWidth="1"/>
    <col min="4" max="5" width="22.84375" customWidth="1"/>
    <col min="6" max="6" width="15.3046875" customWidth="1"/>
    <col min="7" max="7" width="17.69140625" customWidth="1"/>
    <col min="8" max="8" width="27.84375" customWidth="1"/>
    <col min="9" max="9" width="12.15234375" customWidth="1"/>
    <col min="10" max="10" width="27.84375" customWidth="1"/>
    <col min="11" max="11" width="9.84375" customWidth="1"/>
    <col min="12" max="12" width="32.3828125" customWidth="1"/>
    <col min="13" max="13" width="12.15234375" customWidth="1"/>
    <col min="14" max="14" width="38.3046875" customWidth="1"/>
    <col min="15" max="15" width="19.15234375" customWidth="1"/>
    <col min="16" max="16" width="16.15234375" customWidth="1"/>
    <col min="17" max="17" width="40.69140625" customWidth="1"/>
    <col min="18" max="18" width="38.3828125" bestFit="1" customWidth="1"/>
    <col min="19" max="19" width="116.53515625" bestFit="1" customWidth="1"/>
  </cols>
  <sheetData>
    <row r="1" spans="1:19" s="2" customFormat="1" ht="15.9" x14ac:dyDescent="0.45">
      <c r="A1" s="2" t="s">
        <v>37</v>
      </c>
      <c r="B1" s="2" t="s">
        <v>0</v>
      </c>
      <c r="C1" s="2" t="s">
        <v>84</v>
      </c>
      <c r="D1" s="2" t="s">
        <v>2</v>
      </c>
      <c r="E1" s="2" t="s">
        <v>713</v>
      </c>
      <c r="F1" s="2" t="s">
        <v>3</v>
      </c>
      <c r="G1" s="2" t="s">
        <v>4</v>
      </c>
      <c r="H1" s="2" t="s">
        <v>460</v>
      </c>
      <c r="I1" s="2" t="s">
        <v>34</v>
      </c>
      <c r="J1" s="2" t="s">
        <v>457</v>
      </c>
      <c r="K1" s="2" t="s">
        <v>5</v>
      </c>
      <c r="L1" s="2" t="s">
        <v>22</v>
      </c>
      <c r="M1" s="2" t="s">
        <v>6</v>
      </c>
      <c r="N1" s="2" t="s">
        <v>13</v>
      </c>
      <c r="O1" s="2" t="s">
        <v>507</v>
      </c>
      <c r="P1" s="2" t="s">
        <v>508</v>
      </c>
      <c r="Q1" s="2" t="s">
        <v>24</v>
      </c>
      <c r="R1" s="2" t="s">
        <v>19</v>
      </c>
      <c r="S1" s="2" t="s">
        <v>443</v>
      </c>
    </row>
    <row r="2" spans="1:19" x14ac:dyDescent="0.4">
      <c r="A2">
        <v>1</v>
      </c>
      <c r="B2" t="s">
        <v>16</v>
      </c>
      <c r="C2" t="s">
        <v>85</v>
      </c>
      <c r="D2" t="s">
        <v>18</v>
      </c>
      <c r="E2" t="s">
        <v>715</v>
      </c>
      <c r="F2" t="s">
        <v>9</v>
      </c>
      <c r="G2" t="s">
        <v>17</v>
      </c>
      <c r="H2" t="s">
        <v>215</v>
      </c>
      <c r="I2" t="s">
        <v>465</v>
      </c>
      <c r="J2" t="s">
        <v>215</v>
      </c>
      <c r="K2">
        <v>2</v>
      </c>
      <c r="L2" t="s">
        <v>671</v>
      </c>
      <c r="M2">
        <f>10</f>
        <v>10</v>
      </c>
      <c r="N2" s="1" t="s">
        <v>15</v>
      </c>
      <c r="O2" t="s">
        <v>597</v>
      </c>
      <c r="P2" t="s">
        <v>563</v>
      </c>
      <c r="Q2" t="s">
        <v>26</v>
      </c>
      <c r="R2" t="s">
        <v>20</v>
      </c>
      <c r="S2" t="s">
        <v>456</v>
      </c>
    </row>
    <row r="3" spans="1:19" x14ac:dyDescent="0.4">
      <c r="A3">
        <v>2</v>
      </c>
      <c r="B3" t="s">
        <v>645</v>
      </c>
      <c r="C3" t="s">
        <v>85</v>
      </c>
      <c r="D3" t="s">
        <v>105</v>
      </c>
      <c r="E3" t="s">
        <v>715</v>
      </c>
      <c r="F3" t="s">
        <v>9</v>
      </c>
      <c r="G3" t="s">
        <v>11</v>
      </c>
      <c r="H3" t="s">
        <v>646</v>
      </c>
      <c r="I3" t="s">
        <v>465</v>
      </c>
      <c r="J3" t="s">
        <v>66</v>
      </c>
      <c r="K3">
        <v>2</v>
      </c>
      <c r="L3" t="s">
        <v>647</v>
      </c>
      <c r="M3">
        <v>30</v>
      </c>
      <c r="N3" s="1" t="s">
        <v>652</v>
      </c>
      <c r="O3" t="s">
        <v>648</v>
      </c>
      <c r="P3" t="s">
        <v>649</v>
      </c>
      <c r="Q3" t="s">
        <v>650</v>
      </c>
      <c r="R3" t="s">
        <v>651</v>
      </c>
    </row>
    <row r="4" spans="1:19" x14ac:dyDescent="0.4">
      <c r="A4">
        <v>3</v>
      </c>
      <c r="B4" t="s">
        <v>7</v>
      </c>
      <c r="C4" t="s">
        <v>85</v>
      </c>
      <c r="D4" t="s">
        <v>12</v>
      </c>
      <c r="E4" t="s">
        <v>715</v>
      </c>
      <c r="F4" t="s">
        <v>9</v>
      </c>
      <c r="G4" t="s">
        <v>11</v>
      </c>
      <c r="H4" t="s">
        <v>461</v>
      </c>
      <c r="I4" t="s">
        <v>465</v>
      </c>
      <c r="J4" t="s">
        <v>66</v>
      </c>
      <c r="K4">
        <v>3</v>
      </c>
      <c r="L4" t="s">
        <v>449</v>
      </c>
      <c r="M4">
        <f>3*3</f>
        <v>9</v>
      </c>
      <c r="N4" s="1" t="s">
        <v>14</v>
      </c>
      <c r="O4" t="s">
        <v>572</v>
      </c>
      <c r="P4" t="s">
        <v>573</v>
      </c>
      <c r="Q4" s="1"/>
    </row>
    <row r="5" spans="1:19" x14ac:dyDescent="0.4">
      <c r="A5">
        <v>4</v>
      </c>
      <c r="B5" t="s">
        <v>28</v>
      </c>
      <c r="C5" t="s">
        <v>85</v>
      </c>
      <c r="D5" t="s">
        <v>29</v>
      </c>
      <c r="E5" t="s">
        <v>715</v>
      </c>
      <c r="F5" t="s">
        <v>9</v>
      </c>
      <c r="G5" t="s">
        <v>17</v>
      </c>
      <c r="H5" t="s">
        <v>463</v>
      </c>
      <c r="I5" t="s">
        <v>465</v>
      </c>
      <c r="J5" t="s">
        <v>467</v>
      </c>
      <c r="K5">
        <v>6</v>
      </c>
      <c r="L5" t="s">
        <v>672</v>
      </c>
      <c r="M5">
        <f>6*3</f>
        <v>18</v>
      </c>
      <c r="N5" s="1" t="s">
        <v>31</v>
      </c>
      <c r="O5" t="s">
        <v>673</v>
      </c>
      <c r="P5" t="s">
        <v>674</v>
      </c>
      <c r="Q5" t="s">
        <v>30</v>
      </c>
    </row>
    <row r="6" spans="1:19" x14ac:dyDescent="0.4">
      <c r="A6">
        <v>5</v>
      </c>
      <c r="B6" t="s">
        <v>32</v>
      </c>
      <c r="C6" t="s">
        <v>85</v>
      </c>
      <c r="D6" t="s">
        <v>33</v>
      </c>
      <c r="E6" t="s">
        <v>715</v>
      </c>
      <c r="F6" t="s">
        <v>9</v>
      </c>
      <c r="G6" t="s">
        <v>11</v>
      </c>
      <c r="H6" t="s">
        <v>462</v>
      </c>
      <c r="I6" t="s">
        <v>465</v>
      </c>
      <c r="J6" t="s">
        <v>466</v>
      </c>
      <c r="K6">
        <v>4</v>
      </c>
      <c r="L6" t="s">
        <v>675</v>
      </c>
      <c r="M6">
        <v>16</v>
      </c>
      <c r="N6" s="1" t="s">
        <v>35</v>
      </c>
      <c r="O6" t="s">
        <v>676</v>
      </c>
      <c r="P6" t="s">
        <v>677</v>
      </c>
      <c r="Q6" t="s">
        <v>36</v>
      </c>
      <c r="R6" t="s">
        <v>89</v>
      </c>
    </row>
    <row r="7" spans="1:19" x14ac:dyDescent="0.4">
      <c r="A7">
        <v>6</v>
      </c>
      <c r="B7" t="s">
        <v>38</v>
      </c>
      <c r="C7" t="s">
        <v>85</v>
      </c>
      <c r="D7" t="s">
        <v>39</v>
      </c>
      <c r="E7" t="s">
        <v>715</v>
      </c>
      <c r="F7" t="s">
        <v>9</v>
      </c>
      <c r="G7" t="s">
        <v>11</v>
      </c>
      <c r="H7" t="s">
        <v>464</v>
      </c>
      <c r="I7" t="s">
        <v>465</v>
      </c>
      <c r="J7" t="s">
        <v>458</v>
      </c>
      <c r="K7">
        <v>2</v>
      </c>
      <c r="L7" t="s">
        <v>678</v>
      </c>
      <c r="M7">
        <f>K7*4</f>
        <v>8</v>
      </c>
      <c r="N7" t="s">
        <v>40</v>
      </c>
      <c r="O7" t="s">
        <v>679</v>
      </c>
      <c r="P7" t="s">
        <v>680</v>
      </c>
      <c r="Q7" t="s">
        <v>41</v>
      </c>
      <c r="R7" t="s">
        <v>90</v>
      </c>
    </row>
    <row r="8" spans="1:19" x14ac:dyDescent="0.4">
      <c r="A8">
        <v>7</v>
      </c>
      <c r="B8" t="s">
        <v>42</v>
      </c>
      <c r="C8" t="s">
        <v>85</v>
      </c>
      <c r="D8" t="s">
        <v>43</v>
      </c>
      <c r="E8" t="s">
        <v>715</v>
      </c>
      <c r="F8" t="s">
        <v>9</v>
      </c>
      <c r="G8" t="s">
        <v>17</v>
      </c>
      <c r="H8" t="s">
        <v>347</v>
      </c>
      <c r="I8" t="s">
        <v>465</v>
      </c>
      <c r="J8" t="s">
        <v>466</v>
      </c>
      <c r="K8">
        <v>4</v>
      </c>
      <c r="L8" t="s">
        <v>681</v>
      </c>
      <c r="M8">
        <f>24</f>
        <v>24</v>
      </c>
      <c r="N8" s="1" t="s">
        <v>45</v>
      </c>
      <c r="O8" t="s">
        <v>682</v>
      </c>
      <c r="P8" t="s">
        <v>683</v>
      </c>
      <c r="Q8" t="s">
        <v>46</v>
      </c>
      <c r="R8" s="4"/>
    </row>
    <row r="9" spans="1:19" x14ac:dyDescent="0.4">
      <c r="A9">
        <v>8</v>
      </c>
      <c r="B9" t="s">
        <v>47</v>
      </c>
      <c r="C9" t="s">
        <v>85</v>
      </c>
      <c r="D9" t="s">
        <v>12</v>
      </c>
      <c r="E9" t="s">
        <v>715</v>
      </c>
      <c r="F9" t="s">
        <v>48</v>
      </c>
      <c r="G9" t="s">
        <v>11</v>
      </c>
      <c r="H9" t="s">
        <v>49</v>
      </c>
      <c r="I9" t="s">
        <v>469</v>
      </c>
      <c r="J9" t="s">
        <v>99</v>
      </c>
      <c r="K9">
        <v>3</v>
      </c>
      <c r="L9" t="s">
        <v>50</v>
      </c>
      <c r="M9">
        <f>29</f>
        <v>29</v>
      </c>
      <c r="N9" s="1" t="s">
        <v>51</v>
      </c>
      <c r="O9" t="s">
        <v>528</v>
      </c>
      <c r="P9" t="s">
        <v>653</v>
      </c>
      <c r="Q9" t="s">
        <v>46</v>
      </c>
      <c r="R9" t="s">
        <v>92</v>
      </c>
    </row>
    <row r="10" spans="1:19" x14ac:dyDescent="0.4">
      <c r="A10">
        <v>9</v>
      </c>
      <c r="B10" t="s">
        <v>52</v>
      </c>
      <c r="C10" t="s">
        <v>85</v>
      </c>
      <c r="D10" t="s">
        <v>53</v>
      </c>
      <c r="E10" t="s">
        <v>714</v>
      </c>
      <c r="F10" t="s">
        <v>48</v>
      </c>
      <c r="G10" t="s">
        <v>11</v>
      </c>
      <c r="H10" t="s">
        <v>326</v>
      </c>
      <c r="I10" t="s">
        <v>469</v>
      </c>
      <c r="J10" t="s">
        <v>326</v>
      </c>
      <c r="K10">
        <v>7</v>
      </c>
      <c r="L10" t="s">
        <v>692</v>
      </c>
      <c r="M10">
        <v>24</v>
      </c>
      <c r="N10" s="1" t="s">
        <v>54</v>
      </c>
      <c r="O10" t="s">
        <v>693</v>
      </c>
      <c r="P10" t="s">
        <v>694</v>
      </c>
      <c r="R10" t="s">
        <v>55</v>
      </c>
    </row>
    <row r="11" spans="1:19" x14ac:dyDescent="0.4">
      <c r="A11">
        <v>10</v>
      </c>
      <c r="B11" t="s">
        <v>56</v>
      </c>
      <c r="C11" t="s">
        <v>85</v>
      </c>
      <c r="D11" t="s">
        <v>57</v>
      </c>
      <c r="E11" t="s">
        <v>714</v>
      </c>
      <c r="F11" t="s">
        <v>48</v>
      </c>
      <c r="G11" t="s">
        <v>11</v>
      </c>
      <c r="H11" t="s">
        <v>99</v>
      </c>
      <c r="I11" t="s">
        <v>469</v>
      </c>
      <c r="J11" t="s">
        <v>99</v>
      </c>
      <c r="K11">
        <v>2</v>
      </c>
      <c r="L11" t="s">
        <v>58</v>
      </c>
      <c r="M11">
        <v>33</v>
      </c>
      <c r="N11" s="1" t="s">
        <v>59</v>
      </c>
      <c r="O11" t="s">
        <v>570</v>
      </c>
      <c r="P11" t="s">
        <v>574</v>
      </c>
      <c r="Q11" t="s">
        <v>60</v>
      </c>
    </row>
    <row r="12" spans="1:19" x14ac:dyDescent="0.4">
      <c r="A12">
        <v>11</v>
      </c>
      <c r="B12" t="s">
        <v>62</v>
      </c>
      <c r="C12" t="s">
        <v>85</v>
      </c>
      <c r="D12" t="s">
        <v>61</v>
      </c>
      <c r="E12" t="s">
        <v>715</v>
      </c>
      <c r="F12" t="s">
        <v>48</v>
      </c>
      <c r="G12" t="s">
        <v>17</v>
      </c>
      <c r="H12" t="s">
        <v>468</v>
      </c>
      <c r="I12" t="s">
        <v>469</v>
      </c>
      <c r="J12" t="s">
        <v>116</v>
      </c>
      <c r="K12">
        <v>2</v>
      </c>
      <c r="L12" t="s">
        <v>44</v>
      </c>
      <c r="M12">
        <f>9</f>
        <v>9</v>
      </c>
      <c r="N12" s="1" t="s">
        <v>64</v>
      </c>
      <c r="O12" t="s">
        <v>509</v>
      </c>
      <c r="P12" t="s">
        <v>518</v>
      </c>
    </row>
    <row r="13" spans="1:19" x14ac:dyDescent="0.4">
      <c r="A13">
        <v>12</v>
      </c>
      <c r="B13" t="s">
        <v>65</v>
      </c>
      <c r="C13" t="s">
        <v>85</v>
      </c>
      <c r="D13" t="s">
        <v>27</v>
      </c>
      <c r="E13" t="s">
        <v>715</v>
      </c>
      <c r="F13" t="s">
        <v>9</v>
      </c>
      <c r="G13" t="s">
        <v>17</v>
      </c>
      <c r="H13" t="s">
        <v>470</v>
      </c>
      <c r="I13" t="s">
        <v>469</v>
      </c>
      <c r="J13" t="s">
        <v>66</v>
      </c>
      <c r="K13">
        <v>4</v>
      </c>
      <c r="L13" t="s">
        <v>684</v>
      </c>
      <c r="M13">
        <v>16</v>
      </c>
      <c r="N13" s="1" t="s">
        <v>68</v>
      </c>
      <c r="O13" t="s">
        <v>685</v>
      </c>
      <c r="P13" t="s">
        <v>686</v>
      </c>
      <c r="R13" t="s">
        <v>67</v>
      </c>
    </row>
    <row r="14" spans="1:19" x14ac:dyDescent="0.4">
      <c r="A14">
        <v>13</v>
      </c>
      <c r="B14" t="s">
        <v>71</v>
      </c>
      <c r="C14" t="s">
        <v>85</v>
      </c>
      <c r="D14" t="s">
        <v>43</v>
      </c>
      <c r="E14" t="s">
        <v>715</v>
      </c>
      <c r="F14" t="s">
        <v>9</v>
      </c>
      <c r="G14" t="s">
        <v>11</v>
      </c>
      <c r="H14" t="s">
        <v>72</v>
      </c>
      <c r="I14" t="s">
        <v>469</v>
      </c>
      <c r="J14" t="s">
        <v>72</v>
      </c>
      <c r="K14">
        <v>4</v>
      </c>
      <c r="L14" t="s">
        <v>687</v>
      </c>
      <c r="M14">
        <f>8*4</f>
        <v>32</v>
      </c>
      <c r="N14" s="1" t="s">
        <v>69</v>
      </c>
      <c r="O14" t="s">
        <v>689</v>
      </c>
      <c r="P14" t="s">
        <v>688</v>
      </c>
      <c r="R14" t="s">
        <v>70</v>
      </c>
    </row>
    <row r="15" spans="1:19" x14ac:dyDescent="0.4">
      <c r="A15">
        <v>14</v>
      </c>
      <c r="B15" t="s">
        <v>73</v>
      </c>
      <c r="C15" t="s">
        <v>85</v>
      </c>
      <c r="D15" t="s">
        <v>57</v>
      </c>
      <c r="E15" t="s">
        <v>714</v>
      </c>
      <c r="F15" t="s">
        <v>9</v>
      </c>
      <c r="G15" t="s">
        <v>11</v>
      </c>
      <c r="H15" t="s">
        <v>74</v>
      </c>
      <c r="I15" t="s">
        <v>469</v>
      </c>
      <c r="J15" t="s">
        <v>74</v>
      </c>
      <c r="K15">
        <v>2</v>
      </c>
      <c r="L15" t="s">
        <v>690</v>
      </c>
      <c r="M15">
        <v>10</v>
      </c>
      <c r="N15" s="1" t="s">
        <v>87</v>
      </c>
      <c r="O15" t="s">
        <v>511</v>
      </c>
      <c r="P15" t="s">
        <v>691</v>
      </c>
      <c r="R15" t="s">
        <v>91</v>
      </c>
    </row>
    <row r="16" spans="1:19" x14ac:dyDescent="0.4">
      <c r="A16">
        <v>15</v>
      </c>
      <c r="B16" t="s">
        <v>93</v>
      </c>
      <c r="C16" t="s">
        <v>85</v>
      </c>
      <c r="D16" t="s">
        <v>94</v>
      </c>
      <c r="E16" t="s">
        <v>715</v>
      </c>
      <c r="F16" t="s">
        <v>9</v>
      </c>
      <c r="G16" t="s">
        <v>11</v>
      </c>
      <c r="H16" t="s">
        <v>66</v>
      </c>
      <c r="I16" t="s">
        <v>469</v>
      </c>
      <c r="J16" t="s">
        <v>66</v>
      </c>
      <c r="K16">
        <v>3</v>
      </c>
      <c r="L16" t="s">
        <v>655</v>
      </c>
      <c r="M16">
        <v>9</v>
      </c>
      <c r="N16" s="1" t="s">
        <v>40</v>
      </c>
      <c r="O16" t="s">
        <v>516</v>
      </c>
      <c r="P16" t="s">
        <v>654</v>
      </c>
    </row>
    <row r="17" spans="1:19" x14ac:dyDescent="0.4">
      <c r="A17">
        <v>16</v>
      </c>
      <c r="B17" t="s">
        <v>95</v>
      </c>
      <c r="C17" t="s">
        <v>85</v>
      </c>
      <c r="D17" t="s">
        <v>27</v>
      </c>
      <c r="E17" t="s">
        <v>715</v>
      </c>
      <c r="F17" t="s">
        <v>9</v>
      </c>
      <c r="G17" t="s">
        <v>11</v>
      </c>
      <c r="H17" t="s">
        <v>472</v>
      </c>
      <c r="I17" t="s">
        <v>469</v>
      </c>
      <c r="J17" t="s">
        <v>414</v>
      </c>
      <c r="K17">
        <v>2</v>
      </c>
      <c r="L17" t="s">
        <v>343</v>
      </c>
      <c r="M17">
        <v>46</v>
      </c>
      <c r="N17" s="1" t="s">
        <v>97</v>
      </c>
      <c r="O17" t="s">
        <v>618</v>
      </c>
      <c r="P17" t="s">
        <v>520</v>
      </c>
    </row>
    <row r="18" spans="1:19" x14ac:dyDescent="0.4">
      <c r="A18">
        <v>17</v>
      </c>
      <c r="B18" t="s">
        <v>98</v>
      </c>
      <c r="C18" t="s">
        <v>85</v>
      </c>
      <c r="D18" t="s">
        <v>61</v>
      </c>
      <c r="E18" t="s">
        <v>715</v>
      </c>
      <c r="F18" t="s">
        <v>9</v>
      </c>
      <c r="G18" t="s">
        <v>11</v>
      </c>
      <c r="H18" t="s">
        <v>99</v>
      </c>
      <c r="I18" t="s">
        <v>465</v>
      </c>
      <c r="J18" t="s">
        <v>99</v>
      </c>
      <c r="K18">
        <v>2</v>
      </c>
      <c r="L18" t="s">
        <v>660</v>
      </c>
      <c r="M18">
        <v>6</v>
      </c>
      <c r="N18" s="1" t="s">
        <v>100</v>
      </c>
      <c r="O18" t="s">
        <v>661</v>
      </c>
      <c r="P18" t="s">
        <v>512</v>
      </c>
      <c r="S18" t="s">
        <v>446</v>
      </c>
    </row>
    <row r="19" spans="1:19" x14ac:dyDescent="0.4">
      <c r="A19">
        <v>18</v>
      </c>
      <c r="B19" t="s">
        <v>101</v>
      </c>
      <c r="C19" t="s">
        <v>85</v>
      </c>
      <c r="D19" t="s">
        <v>27</v>
      </c>
      <c r="E19" t="s">
        <v>715</v>
      </c>
      <c r="F19" t="s">
        <v>9</v>
      </c>
      <c r="G19" t="s">
        <v>11</v>
      </c>
      <c r="H19" t="s">
        <v>471</v>
      </c>
      <c r="I19" t="s">
        <v>465</v>
      </c>
      <c r="J19" t="s">
        <v>116</v>
      </c>
      <c r="K19">
        <v>3</v>
      </c>
      <c r="L19" t="s">
        <v>102</v>
      </c>
      <c r="M19">
        <f>K19*4</f>
        <v>12</v>
      </c>
      <c r="N19" t="s">
        <v>40</v>
      </c>
      <c r="O19" t="s">
        <v>529</v>
      </c>
      <c r="P19" t="s">
        <v>535</v>
      </c>
      <c r="R19" t="s">
        <v>103</v>
      </c>
    </row>
    <row r="20" spans="1:19" x14ac:dyDescent="0.4">
      <c r="A20">
        <v>19</v>
      </c>
      <c r="B20" t="s">
        <v>104</v>
      </c>
      <c r="C20" t="s">
        <v>85</v>
      </c>
      <c r="D20" t="s">
        <v>105</v>
      </c>
      <c r="E20" t="s">
        <v>715</v>
      </c>
      <c r="F20" t="s">
        <v>9</v>
      </c>
      <c r="G20" t="s">
        <v>11</v>
      </c>
      <c r="H20" t="s">
        <v>473</v>
      </c>
      <c r="I20" t="s">
        <v>465</v>
      </c>
      <c r="J20" t="s">
        <v>474</v>
      </c>
      <c r="K20">
        <v>2</v>
      </c>
      <c r="L20" t="s">
        <v>663</v>
      </c>
      <c r="M20">
        <v>6</v>
      </c>
      <c r="N20" s="1" t="s">
        <v>106</v>
      </c>
      <c r="O20" t="s">
        <v>662</v>
      </c>
      <c r="P20" t="s">
        <v>521</v>
      </c>
      <c r="R20" t="s">
        <v>107</v>
      </c>
      <c r="S20" t="s">
        <v>456</v>
      </c>
    </row>
    <row r="21" spans="1:19" x14ac:dyDescent="0.4">
      <c r="A21">
        <v>20</v>
      </c>
      <c r="B21" t="s">
        <v>142</v>
      </c>
      <c r="C21" t="s">
        <v>85</v>
      </c>
      <c r="D21" t="s">
        <v>29</v>
      </c>
      <c r="E21" t="s">
        <v>715</v>
      </c>
      <c r="F21" t="s">
        <v>9</v>
      </c>
      <c r="G21" t="s">
        <v>138</v>
      </c>
      <c r="H21" t="s">
        <v>475</v>
      </c>
      <c r="I21" t="s">
        <v>465</v>
      </c>
      <c r="J21" t="s">
        <v>475</v>
      </c>
      <c r="K21">
        <v>8</v>
      </c>
      <c r="L21" t="s">
        <v>144</v>
      </c>
      <c r="M21">
        <f>K21*4</f>
        <v>32</v>
      </c>
      <c r="N21" s="1" t="s">
        <v>141</v>
      </c>
      <c r="O21" t="s">
        <v>510</v>
      </c>
      <c r="P21" t="s">
        <v>537</v>
      </c>
      <c r="R21" t="s">
        <v>143</v>
      </c>
    </row>
    <row r="22" spans="1:19" x14ac:dyDescent="0.4">
      <c r="A22">
        <v>21</v>
      </c>
      <c r="B22" t="s">
        <v>110</v>
      </c>
      <c r="C22" t="s">
        <v>86</v>
      </c>
      <c r="D22" t="s">
        <v>111</v>
      </c>
      <c r="E22" t="s">
        <v>714</v>
      </c>
      <c r="F22" t="s">
        <v>112</v>
      </c>
      <c r="G22" t="s">
        <v>17</v>
      </c>
      <c r="H22" t="s">
        <v>113</v>
      </c>
      <c r="I22" t="s">
        <v>469</v>
      </c>
      <c r="J22" t="s">
        <v>196</v>
      </c>
      <c r="K22">
        <v>2</v>
      </c>
      <c r="L22" t="s">
        <v>664</v>
      </c>
      <c r="M22">
        <f>K22*11</f>
        <v>22</v>
      </c>
      <c r="N22" t="s">
        <v>40</v>
      </c>
      <c r="O22" t="s">
        <v>545</v>
      </c>
      <c r="P22" t="s">
        <v>522</v>
      </c>
      <c r="Q22" t="s">
        <v>114</v>
      </c>
    </row>
    <row r="23" spans="1:19" x14ac:dyDescent="0.4">
      <c r="A23">
        <v>22</v>
      </c>
      <c r="B23" t="s">
        <v>115</v>
      </c>
      <c r="C23" t="s">
        <v>86</v>
      </c>
      <c r="D23" t="s">
        <v>105</v>
      </c>
      <c r="E23" t="s">
        <v>715</v>
      </c>
      <c r="F23" t="s">
        <v>112</v>
      </c>
      <c r="G23" t="s">
        <v>11</v>
      </c>
      <c r="H23" t="s">
        <v>476</v>
      </c>
      <c r="I23" t="s">
        <v>465</v>
      </c>
      <c r="J23" t="s">
        <v>116</v>
      </c>
      <c r="K23">
        <v>4</v>
      </c>
      <c r="L23" t="s">
        <v>117</v>
      </c>
      <c r="M23">
        <f>19*2+16*2+1</f>
        <v>71</v>
      </c>
      <c r="N23" s="1" t="s">
        <v>578</v>
      </c>
      <c r="O23" t="s">
        <v>579</v>
      </c>
      <c r="P23" t="s">
        <v>575</v>
      </c>
      <c r="R23" t="s">
        <v>118</v>
      </c>
    </row>
    <row r="24" spans="1:19" x14ac:dyDescent="0.4">
      <c r="A24">
        <v>23</v>
      </c>
      <c r="B24" t="s">
        <v>450</v>
      </c>
      <c r="C24" t="s">
        <v>86</v>
      </c>
      <c r="D24" t="s">
        <v>43</v>
      </c>
      <c r="E24" t="s">
        <v>715</v>
      </c>
      <c r="F24" t="s">
        <v>112</v>
      </c>
      <c r="G24" t="s">
        <v>11</v>
      </c>
      <c r="H24" t="s">
        <v>477</v>
      </c>
      <c r="I24" t="s">
        <v>465</v>
      </c>
      <c r="J24" t="s">
        <v>478</v>
      </c>
      <c r="K24">
        <v>2</v>
      </c>
      <c r="L24" t="s">
        <v>451</v>
      </c>
      <c r="M24">
        <v>10</v>
      </c>
      <c r="N24" s="1" t="s">
        <v>452</v>
      </c>
      <c r="O24" t="s">
        <v>510</v>
      </c>
      <c r="P24" t="s">
        <v>514</v>
      </c>
    </row>
    <row r="25" spans="1:19" x14ac:dyDescent="0.4">
      <c r="A25">
        <v>24</v>
      </c>
      <c r="B25" t="s">
        <v>121</v>
      </c>
      <c r="C25" t="s">
        <v>86</v>
      </c>
      <c r="D25" t="s">
        <v>122</v>
      </c>
      <c r="E25" t="s">
        <v>714</v>
      </c>
      <c r="F25" t="s">
        <v>112</v>
      </c>
      <c r="G25" t="s">
        <v>11</v>
      </c>
      <c r="H25" t="s">
        <v>123</v>
      </c>
      <c r="I25" t="s">
        <v>469</v>
      </c>
      <c r="J25" t="s">
        <v>123</v>
      </c>
      <c r="K25">
        <v>3</v>
      </c>
      <c r="L25" t="s">
        <v>124</v>
      </c>
      <c r="M25">
        <v>46</v>
      </c>
      <c r="N25" t="s">
        <v>40</v>
      </c>
      <c r="O25" t="s">
        <v>507</v>
      </c>
      <c r="P25" t="s">
        <v>536</v>
      </c>
    </row>
    <row r="26" spans="1:19" x14ac:dyDescent="0.4">
      <c r="A26">
        <v>25</v>
      </c>
      <c r="B26" t="s">
        <v>125</v>
      </c>
      <c r="C26" t="s">
        <v>86</v>
      </c>
      <c r="D26" t="s">
        <v>53</v>
      </c>
      <c r="E26" t="s">
        <v>714</v>
      </c>
      <c r="F26" t="s">
        <v>112</v>
      </c>
      <c r="G26" t="s">
        <v>11</v>
      </c>
      <c r="H26" t="s">
        <v>99</v>
      </c>
      <c r="I26" t="s">
        <v>469</v>
      </c>
      <c r="J26" t="s">
        <v>99</v>
      </c>
      <c r="K26">
        <v>2</v>
      </c>
      <c r="L26" t="s">
        <v>695</v>
      </c>
      <c r="M26">
        <v>22</v>
      </c>
      <c r="N26" t="s">
        <v>40</v>
      </c>
      <c r="O26" t="s">
        <v>599</v>
      </c>
      <c r="P26" t="s">
        <v>696</v>
      </c>
    </row>
    <row r="27" spans="1:19" x14ac:dyDescent="0.4">
      <c r="A27">
        <v>26</v>
      </c>
      <c r="B27" t="s">
        <v>126</v>
      </c>
      <c r="C27" t="s">
        <v>86</v>
      </c>
      <c r="D27" t="s">
        <v>39</v>
      </c>
      <c r="E27" t="s">
        <v>715</v>
      </c>
      <c r="F27" t="s">
        <v>112</v>
      </c>
      <c r="G27" t="s">
        <v>17</v>
      </c>
      <c r="H27" t="s">
        <v>316</v>
      </c>
      <c r="I27" t="s">
        <v>465</v>
      </c>
      <c r="J27" t="s">
        <v>66</v>
      </c>
      <c r="K27">
        <v>5</v>
      </c>
      <c r="L27" t="s">
        <v>127</v>
      </c>
      <c r="M27">
        <f>K27*4</f>
        <v>20</v>
      </c>
      <c r="N27" t="s">
        <v>40</v>
      </c>
      <c r="O27" t="s">
        <v>582</v>
      </c>
      <c r="P27" t="s">
        <v>576</v>
      </c>
    </row>
    <row r="28" spans="1:19" x14ac:dyDescent="0.4">
      <c r="A28">
        <v>27</v>
      </c>
      <c r="B28" t="s">
        <v>453</v>
      </c>
      <c r="C28" t="s">
        <v>86</v>
      </c>
      <c r="D28" t="s">
        <v>105</v>
      </c>
      <c r="E28" t="s">
        <v>715</v>
      </c>
      <c r="F28" t="s">
        <v>112</v>
      </c>
      <c r="G28" t="s">
        <v>17</v>
      </c>
      <c r="H28" t="s">
        <v>215</v>
      </c>
      <c r="I28" t="s">
        <v>465</v>
      </c>
      <c r="J28" t="s">
        <v>215</v>
      </c>
      <c r="K28">
        <v>4</v>
      </c>
      <c r="L28" t="s">
        <v>454</v>
      </c>
      <c r="M28">
        <v>23</v>
      </c>
      <c r="N28" s="1" t="s">
        <v>455</v>
      </c>
      <c r="O28" t="s">
        <v>532</v>
      </c>
      <c r="P28" t="s">
        <v>546</v>
      </c>
    </row>
    <row r="29" spans="1:19" x14ac:dyDescent="0.4">
      <c r="A29">
        <v>28</v>
      </c>
      <c r="B29" t="s">
        <v>131</v>
      </c>
      <c r="C29" t="s">
        <v>86</v>
      </c>
      <c r="D29" t="s">
        <v>57</v>
      </c>
      <c r="E29" t="s">
        <v>714</v>
      </c>
      <c r="F29" t="s">
        <v>112</v>
      </c>
      <c r="G29" t="s">
        <v>11</v>
      </c>
      <c r="H29" t="s">
        <v>480</v>
      </c>
      <c r="I29" t="s">
        <v>465</v>
      </c>
      <c r="J29" t="s">
        <v>479</v>
      </c>
      <c r="K29">
        <v>4</v>
      </c>
      <c r="L29" t="s">
        <v>132</v>
      </c>
      <c r="M29">
        <f>K29*3</f>
        <v>12</v>
      </c>
      <c r="N29" t="s">
        <v>40</v>
      </c>
      <c r="O29" t="s">
        <v>697</v>
      </c>
      <c r="P29" t="s">
        <v>698</v>
      </c>
    </row>
    <row r="30" spans="1:19" x14ac:dyDescent="0.4">
      <c r="A30">
        <v>29</v>
      </c>
      <c r="B30" t="s">
        <v>133</v>
      </c>
      <c r="C30" t="s">
        <v>86</v>
      </c>
      <c r="D30" t="s">
        <v>134</v>
      </c>
      <c r="E30" t="s">
        <v>715</v>
      </c>
      <c r="F30" t="s">
        <v>112</v>
      </c>
      <c r="G30" t="s">
        <v>11</v>
      </c>
      <c r="H30" t="s">
        <v>481</v>
      </c>
      <c r="I30" t="s">
        <v>465</v>
      </c>
      <c r="J30" t="s">
        <v>458</v>
      </c>
      <c r="K30">
        <v>3</v>
      </c>
      <c r="L30" t="s">
        <v>135</v>
      </c>
      <c r="M30">
        <f>K30*4</f>
        <v>12</v>
      </c>
      <c r="N30" s="1" t="s">
        <v>136</v>
      </c>
      <c r="O30" t="s">
        <v>530</v>
      </c>
      <c r="P30" t="s">
        <v>523</v>
      </c>
    </row>
    <row r="31" spans="1:19" x14ac:dyDescent="0.4">
      <c r="A31">
        <v>30</v>
      </c>
      <c r="B31" t="s">
        <v>137</v>
      </c>
      <c r="C31" t="s">
        <v>86</v>
      </c>
      <c r="D31" t="s">
        <v>139</v>
      </c>
      <c r="E31" t="s">
        <v>714</v>
      </c>
      <c r="F31" t="s">
        <v>112</v>
      </c>
      <c r="G31" t="s">
        <v>138</v>
      </c>
      <c r="H31" t="s">
        <v>475</v>
      </c>
      <c r="I31" t="s">
        <v>465</v>
      </c>
      <c r="J31" t="s">
        <v>475</v>
      </c>
      <c r="K31">
        <v>6</v>
      </c>
      <c r="L31" t="s">
        <v>140</v>
      </c>
      <c r="M31">
        <v>16</v>
      </c>
      <c r="N31" s="1" t="s">
        <v>141</v>
      </c>
      <c r="O31" t="s">
        <v>548</v>
      </c>
      <c r="P31" t="s">
        <v>533</v>
      </c>
    </row>
    <row r="32" spans="1:19" x14ac:dyDescent="0.4">
      <c r="A32">
        <v>31</v>
      </c>
      <c r="B32" t="s">
        <v>145</v>
      </c>
      <c r="C32" t="s">
        <v>86</v>
      </c>
      <c r="D32" t="s">
        <v>57</v>
      </c>
      <c r="E32" t="s">
        <v>714</v>
      </c>
      <c r="F32" t="s">
        <v>112</v>
      </c>
      <c r="G32" t="s">
        <v>17</v>
      </c>
      <c r="H32" t="s">
        <v>146</v>
      </c>
      <c r="I32" t="s">
        <v>469</v>
      </c>
      <c r="J32" t="s">
        <v>116</v>
      </c>
      <c r="K32">
        <v>4</v>
      </c>
      <c r="L32" t="s">
        <v>147</v>
      </c>
      <c r="M32">
        <f>K32*4</f>
        <v>16</v>
      </c>
      <c r="N32" s="1" t="s">
        <v>148</v>
      </c>
      <c r="O32" t="s">
        <v>534</v>
      </c>
      <c r="P32" t="s">
        <v>547</v>
      </c>
      <c r="Q32" t="s">
        <v>149</v>
      </c>
    </row>
    <row r="33" spans="1:18" x14ac:dyDescent="0.4">
      <c r="A33">
        <v>32</v>
      </c>
      <c r="B33" t="s">
        <v>150</v>
      </c>
      <c r="C33" t="s">
        <v>86</v>
      </c>
      <c r="D33" t="s">
        <v>151</v>
      </c>
      <c r="E33" t="s">
        <v>715</v>
      </c>
      <c r="F33" t="s">
        <v>112</v>
      </c>
      <c r="G33" t="s">
        <v>11</v>
      </c>
      <c r="H33" t="s">
        <v>482</v>
      </c>
      <c r="I33" t="s">
        <v>465</v>
      </c>
      <c r="J33" t="s">
        <v>483</v>
      </c>
      <c r="K33">
        <v>3</v>
      </c>
      <c r="L33" t="s">
        <v>152</v>
      </c>
      <c r="M33">
        <f>K33*3</f>
        <v>9</v>
      </c>
      <c r="N33" s="1" t="s">
        <v>153</v>
      </c>
      <c r="O33" t="s">
        <v>510</v>
      </c>
      <c r="P33" t="s">
        <v>524</v>
      </c>
    </row>
    <row r="34" spans="1:18" x14ac:dyDescent="0.4">
      <c r="A34">
        <v>33</v>
      </c>
      <c r="B34" t="s">
        <v>154</v>
      </c>
      <c r="C34" t="s">
        <v>86</v>
      </c>
      <c r="D34" t="s">
        <v>27</v>
      </c>
      <c r="E34" t="s">
        <v>715</v>
      </c>
      <c r="F34" t="s">
        <v>112</v>
      </c>
      <c r="G34" t="s">
        <v>17</v>
      </c>
      <c r="H34" t="s">
        <v>155</v>
      </c>
      <c r="I34" t="s">
        <v>469</v>
      </c>
      <c r="J34" t="s">
        <v>478</v>
      </c>
      <c r="K34">
        <v>3</v>
      </c>
      <c r="L34" t="s">
        <v>156</v>
      </c>
      <c r="M34">
        <f>11</f>
        <v>11</v>
      </c>
      <c r="N34" s="1" t="s">
        <v>157</v>
      </c>
      <c r="O34" t="s">
        <v>510</v>
      </c>
      <c r="P34" t="s">
        <v>525</v>
      </c>
    </row>
    <row r="35" spans="1:18" x14ac:dyDescent="0.4">
      <c r="A35">
        <v>34</v>
      </c>
      <c r="B35" t="s">
        <v>158</v>
      </c>
      <c r="C35" t="s">
        <v>86</v>
      </c>
      <c r="D35" t="s">
        <v>12</v>
      </c>
      <c r="E35" t="s">
        <v>715</v>
      </c>
      <c r="F35" t="s">
        <v>112</v>
      </c>
      <c r="G35" t="s">
        <v>11</v>
      </c>
      <c r="H35" t="s">
        <v>159</v>
      </c>
      <c r="I35" t="s">
        <v>469</v>
      </c>
      <c r="J35" t="s">
        <v>474</v>
      </c>
      <c r="K35">
        <v>3</v>
      </c>
      <c r="L35" t="s">
        <v>160</v>
      </c>
      <c r="M35">
        <f>9</f>
        <v>9</v>
      </c>
      <c r="N35" t="s">
        <v>40</v>
      </c>
      <c r="O35" t="s">
        <v>531</v>
      </c>
      <c r="P35" t="s">
        <v>526</v>
      </c>
    </row>
    <row r="36" spans="1:18" x14ac:dyDescent="0.4">
      <c r="A36">
        <v>35</v>
      </c>
      <c r="B36" t="s">
        <v>161</v>
      </c>
      <c r="C36" t="s">
        <v>86</v>
      </c>
      <c r="D36" t="s">
        <v>164</v>
      </c>
      <c r="E36" t="s">
        <v>714</v>
      </c>
      <c r="F36" t="s">
        <v>112</v>
      </c>
      <c r="G36" t="s">
        <v>11</v>
      </c>
      <c r="H36" t="s">
        <v>163</v>
      </c>
      <c r="I36" t="s">
        <v>469</v>
      </c>
      <c r="J36" t="s">
        <v>163</v>
      </c>
      <c r="K36">
        <v>2</v>
      </c>
      <c r="L36" t="s">
        <v>657</v>
      </c>
      <c r="M36">
        <f>8</f>
        <v>8</v>
      </c>
      <c r="N36" s="1" t="s">
        <v>162</v>
      </c>
      <c r="O36" t="s">
        <v>515</v>
      </c>
      <c r="P36" t="s">
        <v>656</v>
      </c>
    </row>
    <row r="37" spans="1:18" x14ac:dyDescent="0.4">
      <c r="A37">
        <v>36</v>
      </c>
      <c r="B37" t="s">
        <v>165</v>
      </c>
      <c r="C37" t="s">
        <v>86</v>
      </c>
      <c r="D37" t="s">
        <v>61</v>
      </c>
      <c r="E37" t="s">
        <v>715</v>
      </c>
      <c r="F37" t="s">
        <v>112</v>
      </c>
      <c r="G37" t="s">
        <v>11</v>
      </c>
      <c r="H37" t="s">
        <v>484</v>
      </c>
      <c r="I37" t="s">
        <v>469</v>
      </c>
      <c r="J37" t="s">
        <v>116</v>
      </c>
      <c r="K37">
        <v>2</v>
      </c>
      <c r="L37" t="s">
        <v>665</v>
      </c>
      <c r="M37">
        <f>25*2</f>
        <v>50</v>
      </c>
      <c r="N37" s="1" t="s">
        <v>168</v>
      </c>
      <c r="O37" t="s">
        <v>666</v>
      </c>
      <c r="P37" t="s">
        <v>527</v>
      </c>
      <c r="Q37" t="s">
        <v>166</v>
      </c>
      <c r="R37" t="s">
        <v>167</v>
      </c>
    </row>
    <row r="38" spans="1:18" x14ac:dyDescent="0.4">
      <c r="A38">
        <v>37</v>
      </c>
      <c r="B38" t="s">
        <v>169</v>
      </c>
      <c r="C38" t="s">
        <v>86</v>
      </c>
      <c r="D38" t="s">
        <v>27</v>
      </c>
      <c r="E38" t="s">
        <v>715</v>
      </c>
      <c r="F38" t="s">
        <v>112</v>
      </c>
      <c r="G38" t="s">
        <v>17</v>
      </c>
      <c r="H38" t="s">
        <v>485</v>
      </c>
      <c r="I38" t="s">
        <v>465</v>
      </c>
      <c r="J38" t="s">
        <v>74</v>
      </c>
      <c r="K38">
        <v>2</v>
      </c>
      <c r="L38" t="s">
        <v>701</v>
      </c>
      <c r="M38">
        <f>6</f>
        <v>6</v>
      </c>
      <c r="N38" s="1" t="s">
        <v>170</v>
      </c>
      <c r="O38" t="s">
        <v>699</v>
      </c>
      <c r="P38" t="s">
        <v>700</v>
      </c>
    </row>
    <row r="39" spans="1:18" x14ac:dyDescent="0.4">
      <c r="A39">
        <v>38</v>
      </c>
      <c r="B39" t="s">
        <v>171</v>
      </c>
      <c r="C39" t="s">
        <v>86</v>
      </c>
      <c r="D39" t="s">
        <v>172</v>
      </c>
      <c r="E39" t="s">
        <v>714</v>
      </c>
      <c r="F39" t="s">
        <v>112</v>
      </c>
      <c r="G39" t="s">
        <v>11</v>
      </c>
      <c r="H39" t="s">
        <v>173</v>
      </c>
      <c r="I39" t="s">
        <v>465</v>
      </c>
      <c r="J39" t="s">
        <v>66</v>
      </c>
      <c r="K39">
        <v>4</v>
      </c>
      <c r="L39" t="s">
        <v>174</v>
      </c>
      <c r="M39">
        <f>K39*3</f>
        <v>12</v>
      </c>
      <c r="N39" s="1" t="s">
        <v>175</v>
      </c>
      <c r="O39" t="s">
        <v>580</v>
      </c>
      <c r="P39" t="s">
        <v>586</v>
      </c>
    </row>
    <row r="40" spans="1:18" x14ac:dyDescent="0.4">
      <c r="A40">
        <v>39</v>
      </c>
      <c r="B40" t="s">
        <v>176</v>
      </c>
      <c r="C40" t="s">
        <v>86</v>
      </c>
      <c r="D40" t="s">
        <v>53</v>
      </c>
      <c r="E40" t="s">
        <v>714</v>
      </c>
      <c r="F40" t="s">
        <v>112</v>
      </c>
      <c r="G40" t="s">
        <v>11</v>
      </c>
      <c r="H40" t="s">
        <v>123</v>
      </c>
      <c r="I40" t="s">
        <v>469</v>
      </c>
      <c r="J40" t="s">
        <v>123</v>
      </c>
      <c r="K40">
        <v>4</v>
      </c>
      <c r="L40" t="s">
        <v>177</v>
      </c>
      <c r="M40">
        <f>K40*10</f>
        <v>40</v>
      </c>
      <c r="N40" s="1" t="s">
        <v>178</v>
      </c>
      <c r="O40" t="s">
        <v>583</v>
      </c>
      <c r="P40" t="s">
        <v>587</v>
      </c>
      <c r="Q40" t="s">
        <v>179</v>
      </c>
    </row>
    <row r="41" spans="1:18" x14ac:dyDescent="0.4">
      <c r="A41">
        <v>40</v>
      </c>
      <c r="B41" t="s">
        <v>180</v>
      </c>
      <c r="C41" t="s">
        <v>86</v>
      </c>
      <c r="D41" t="s">
        <v>57</v>
      </c>
      <c r="E41" t="s">
        <v>714</v>
      </c>
      <c r="F41" t="s">
        <v>112</v>
      </c>
      <c r="G41" t="s">
        <v>17</v>
      </c>
      <c r="H41" t="s">
        <v>486</v>
      </c>
      <c r="I41" t="s">
        <v>469</v>
      </c>
      <c r="J41" t="s">
        <v>66</v>
      </c>
      <c r="K41">
        <v>4</v>
      </c>
      <c r="L41" t="s">
        <v>181</v>
      </c>
      <c r="M41">
        <f>24</f>
        <v>24</v>
      </c>
      <c r="N41" s="1" t="s">
        <v>182</v>
      </c>
      <c r="O41" t="s">
        <v>538</v>
      </c>
      <c r="P41" t="s">
        <v>549</v>
      </c>
      <c r="Q41" t="s">
        <v>183</v>
      </c>
      <c r="R41" t="s">
        <v>184</v>
      </c>
    </row>
    <row r="42" spans="1:18" x14ac:dyDescent="0.4">
      <c r="A42">
        <v>41</v>
      </c>
      <c r="B42" t="s">
        <v>109</v>
      </c>
      <c r="C42" t="s">
        <v>85</v>
      </c>
      <c r="D42" t="s">
        <v>105</v>
      </c>
      <c r="E42" t="s">
        <v>715</v>
      </c>
      <c r="F42" t="s">
        <v>9</v>
      </c>
      <c r="G42" t="s">
        <v>11</v>
      </c>
      <c r="H42" t="s">
        <v>473</v>
      </c>
      <c r="I42" t="s">
        <v>465</v>
      </c>
      <c r="J42" t="s">
        <v>474</v>
      </c>
      <c r="K42">
        <v>2</v>
      </c>
      <c r="L42" t="s">
        <v>705</v>
      </c>
      <c r="M42">
        <f>6</f>
        <v>6</v>
      </c>
      <c r="N42" s="1" t="s">
        <v>106</v>
      </c>
      <c r="O42" t="s">
        <v>542</v>
      </c>
      <c r="P42" t="s">
        <v>706</v>
      </c>
      <c r="R42" t="s">
        <v>108</v>
      </c>
    </row>
    <row r="43" spans="1:18" x14ac:dyDescent="0.4">
      <c r="A43">
        <v>42</v>
      </c>
      <c r="B43" t="s">
        <v>185</v>
      </c>
      <c r="C43" t="s">
        <v>86</v>
      </c>
      <c r="D43" t="s">
        <v>186</v>
      </c>
      <c r="E43" t="s">
        <v>714</v>
      </c>
      <c r="F43" t="s">
        <v>112</v>
      </c>
      <c r="G43" t="s">
        <v>11</v>
      </c>
      <c r="H43" t="s">
        <v>99</v>
      </c>
      <c r="I43" t="s">
        <v>469</v>
      </c>
      <c r="J43" t="s">
        <v>99</v>
      </c>
      <c r="K43">
        <v>2</v>
      </c>
      <c r="L43" t="s">
        <v>187</v>
      </c>
      <c r="M43">
        <f>35</f>
        <v>35</v>
      </c>
      <c r="N43" s="1" t="s">
        <v>188</v>
      </c>
      <c r="O43" t="s">
        <v>577</v>
      </c>
      <c r="P43" t="s">
        <v>571</v>
      </c>
      <c r="Q43" t="s">
        <v>189</v>
      </c>
    </row>
    <row r="44" spans="1:18" x14ac:dyDescent="0.4">
      <c r="A44">
        <v>43</v>
      </c>
      <c r="B44" t="s">
        <v>190</v>
      </c>
      <c r="C44" t="s">
        <v>86</v>
      </c>
      <c r="D44" t="s">
        <v>18</v>
      </c>
      <c r="E44" t="s">
        <v>715</v>
      </c>
      <c r="F44" t="s">
        <v>112</v>
      </c>
      <c r="G44" t="s">
        <v>11</v>
      </c>
      <c r="H44" t="s">
        <v>191</v>
      </c>
      <c r="I44" t="s">
        <v>469</v>
      </c>
      <c r="J44" t="s">
        <v>196</v>
      </c>
      <c r="K44">
        <v>3</v>
      </c>
      <c r="L44" t="s">
        <v>192</v>
      </c>
      <c r="M44">
        <v>29</v>
      </c>
      <c r="N44" s="1" t="s">
        <v>193</v>
      </c>
      <c r="O44" t="s">
        <v>589</v>
      </c>
      <c r="P44" t="s">
        <v>581</v>
      </c>
      <c r="Q44" t="s">
        <v>194</v>
      </c>
    </row>
    <row r="45" spans="1:18" x14ac:dyDescent="0.4">
      <c r="A45">
        <v>44</v>
      </c>
      <c r="B45" t="s">
        <v>195</v>
      </c>
      <c r="C45" t="s">
        <v>86</v>
      </c>
      <c r="D45" t="s">
        <v>18</v>
      </c>
      <c r="E45" t="s">
        <v>715</v>
      </c>
      <c r="F45" t="s">
        <v>112</v>
      </c>
      <c r="G45" t="s">
        <v>11</v>
      </c>
      <c r="H45" t="s">
        <v>487</v>
      </c>
      <c r="I45" t="s">
        <v>469</v>
      </c>
      <c r="J45" t="s">
        <v>196</v>
      </c>
      <c r="K45">
        <v>3</v>
      </c>
      <c r="L45" t="s">
        <v>192</v>
      </c>
      <c r="M45">
        <v>28</v>
      </c>
      <c r="N45" s="1" t="s">
        <v>193</v>
      </c>
      <c r="O45" t="s">
        <v>589</v>
      </c>
      <c r="P45" t="s">
        <v>581</v>
      </c>
      <c r="Q45" t="s">
        <v>197</v>
      </c>
    </row>
    <row r="46" spans="1:18" x14ac:dyDescent="0.4">
      <c r="A46">
        <v>45</v>
      </c>
      <c r="B46" t="s">
        <v>198</v>
      </c>
      <c r="C46" t="s">
        <v>86</v>
      </c>
      <c r="D46" t="s">
        <v>111</v>
      </c>
      <c r="E46" t="s">
        <v>714</v>
      </c>
      <c r="F46" t="s">
        <v>112</v>
      </c>
      <c r="G46" t="s">
        <v>11</v>
      </c>
      <c r="H46" t="s">
        <v>488</v>
      </c>
      <c r="I46" t="s">
        <v>465</v>
      </c>
      <c r="J46" t="s">
        <v>489</v>
      </c>
      <c r="K46">
        <v>5</v>
      </c>
      <c r="L46" t="s">
        <v>590</v>
      </c>
      <c r="M46">
        <f>6*3</f>
        <v>18</v>
      </c>
      <c r="N46" s="1" t="s">
        <v>199</v>
      </c>
      <c r="O46" t="s">
        <v>592</v>
      </c>
      <c r="P46" t="s">
        <v>591</v>
      </c>
      <c r="Q46" t="s">
        <v>200</v>
      </c>
    </row>
    <row r="47" spans="1:18" x14ac:dyDescent="0.4">
      <c r="A47">
        <v>46</v>
      </c>
      <c r="B47" t="s">
        <v>201</v>
      </c>
      <c r="C47" t="s">
        <v>86</v>
      </c>
      <c r="D47" t="s">
        <v>18</v>
      </c>
      <c r="E47" t="s">
        <v>715</v>
      </c>
      <c r="F47" t="s">
        <v>112</v>
      </c>
      <c r="G47" t="s">
        <v>11</v>
      </c>
      <c r="H47" t="s">
        <v>202</v>
      </c>
      <c r="I47" t="s">
        <v>469</v>
      </c>
      <c r="J47" t="s">
        <v>414</v>
      </c>
      <c r="K47">
        <v>2</v>
      </c>
      <c r="L47" t="s">
        <v>203</v>
      </c>
      <c r="M47">
        <v>21</v>
      </c>
      <c r="N47" s="1" t="s">
        <v>204</v>
      </c>
      <c r="O47" t="s">
        <v>539</v>
      </c>
      <c r="P47" t="s">
        <v>550</v>
      </c>
      <c r="Q47" t="s">
        <v>205</v>
      </c>
    </row>
    <row r="48" spans="1:18" x14ac:dyDescent="0.4">
      <c r="A48">
        <v>47</v>
      </c>
      <c r="B48" t="s">
        <v>206</v>
      </c>
      <c r="C48" t="s">
        <v>86</v>
      </c>
      <c r="D48" t="s">
        <v>207</v>
      </c>
      <c r="E48" t="s">
        <v>715</v>
      </c>
      <c r="F48" t="s">
        <v>112</v>
      </c>
      <c r="G48" t="s">
        <v>17</v>
      </c>
      <c r="H48" t="s">
        <v>208</v>
      </c>
      <c r="I48" t="s">
        <v>469</v>
      </c>
      <c r="J48" t="s">
        <v>99</v>
      </c>
      <c r="K48">
        <v>2</v>
      </c>
      <c r="L48" t="s">
        <v>63</v>
      </c>
      <c r="M48">
        <v>8</v>
      </c>
      <c r="N48" s="1" t="s">
        <v>209</v>
      </c>
      <c r="O48" t="s">
        <v>510</v>
      </c>
      <c r="P48" t="s">
        <v>519</v>
      </c>
    </row>
    <row r="49" spans="1:18" x14ac:dyDescent="0.4">
      <c r="A49">
        <v>48</v>
      </c>
      <c r="B49" t="s">
        <v>210</v>
      </c>
      <c r="C49" t="s">
        <v>86</v>
      </c>
      <c r="D49" t="s">
        <v>39</v>
      </c>
      <c r="E49" t="s">
        <v>715</v>
      </c>
      <c r="F49" t="s">
        <v>112</v>
      </c>
      <c r="G49" t="s">
        <v>11</v>
      </c>
      <c r="H49" t="s">
        <v>490</v>
      </c>
      <c r="I49" t="s">
        <v>465</v>
      </c>
      <c r="J49" t="s">
        <v>99</v>
      </c>
      <c r="K49">
        <v>6</v>
      </c>
      <c r="L49" t="s">
        <v>211</v>
      </c>
      <c r="M49">
        <f>K49*4</f>
        <v>24</v>
      </c>
      <c r="N49" s="1" t="s">
        <v>212</v>
      </c>
      <c r="O49" t="s">
        <v>593</v>
      </c>
      <c r="P49" t="s">
        <v>584</v>
      </c>
      <c r="Q49" t="s">
        <v>213</v>
      </c>
    </row>
    <row r="50" spans="1:18" x14ac:dyDescent="0.4">
      <c r="A50">
        <v>49</v>
      </c>
      <c r="B50" t="s">
        <v>214</v>
      </c>
      <c r="C50" t="s">
        <v>86</v>
      </c>
      <c r="D50" t="s">
        <v>18</v>
      </c>
      <c r="E50" t="s">
        <v>715</v>
      </c>
      <c r="F50" t="s">
        <v>112</v>
      </c>
      <c r="G50" t="s">
        <v>17</v>
      </c>
      <c r="H50" t="s">
        <v>215</v>
      </c>
      <c r="I50" t="s">
        <v>465</v>
      </c>
      <c r="J50" t="s">
        <v>215</v>
      </c>
      <c r="K50">
        <v>6</v>
      </c>
      <c r="L50" t="s">
        <v>216</v>
      </c>
      <c r="M50">
        <f>K50*3</f>
        <v>18</v>
      </c>
      <c r="N50" s="1" t="s">
        <v>217</v>
      </c>
      <c r="O50" t="s">
        <v>540</v>
      </c>
      <c r="P50" t="s">
        <v>555</v>
      </c>
      <c r="Q50" t="s">
        <v>218</v>
      </c>
    </row>
    <row r="51" spans="1:18" x14ac:dyDescent="0.4">
      <c r="A51">
        <v>50</v>
      </c>
      <c r="B51" t="s">
        <v>219</v>
      </c>
      <c r="C51" t="s">
        <v>86</v>
      </c>
      <c r="D51" t="s">
        <v>111</v>
      </c>
      <c r="E51" t="s">
        <v>714</v>
      </c>
      <c r="F51" t="s">
        <v>112</v>
      </c>
      <c r="G51" t="s">
        <v>11</v>
      </c>
      <c r="H51" t="s">
        <v>488</v>
      </c>
      <c r="I51" t="s">
        <v>465</v>
      </c>
      <c r="J51" t="s">
        <v>489</v>
      </c>
      <c r="K51">
        <v>2</v>
      </c>
      <c r="L51" t="s">
        <v>220</v>
      </c>
      <c r="M51">
        <f>K51*3</f>
        <v>6</v>
      </c>
      <c r="N51" s="1" t="s">
        <v>199</v>
      </c>
      <c r="O51" t="s">
        <v>585</v>
      </c>
      <c r="P51" t="s">
        <v>588</v>
      </c>
      <c r="Q51" t="s">
        <v>221</v>
      </c>
    </row>
    <row r="52" spans="1:18" x14ac:dyDescent="0.4">
      <c r="A52">
        <v>51</v>
      </c>
      <c r="B52" t="s">
        <v>222</v>
      </c>
      <c r="C52" t="s">
        <v>86</v>
      </c>
      <c r="D52" t="s">
        <v>18</v>
      </c>
      <c r="E52" t="s">
        <v>715</v>
      </c>
      <c r="F52" t="s">
        <v>112</v>
      </c>
      <c r="G52" t="s">
        <v>17</v>
      </c>
      <c r="H52" t="s">
        <v>215</v>
      </c>
      <c r="I52" t="s">
        <v>465</v>
      </c>
      <c r="J52" t="s">
        <v>215</v>
      </c>
      <c r="K52">
        <v>2</v>
      </c>
      <c r="L52" t="s">
        <v>223</v>
      </c>
      <c r="M52">
        <v>6</v>
      </c>
      <c r="N52" t="s">
        <v>40</v>
      </c>
      <c r="O52" t="s">
        <v>507</v>
      </c>
      <c r="P52" t="s">
        <v>551</v>
      </c>
      <c r="Q52" t="s">
        <v>224</v>
      </c>
    </row>
    <row r="53" spans="1:18" x14ac:dyDescent="0.4">
      <c r="A53">
        <v>52</v>
      </c>
      <c r="B53" t="s">
        <v>234</v>
      </c>
      <c r="C53" t="s">
        <v>86</v>
      </c>
      <c r="D53" t="s">
        <v>186</v>
      </c>
      <c r="E53" t="s">
        <v>714</v>
      </c>
      <c r="F53" t="s">
        <v>235</v>
      </c>
      <c r="G53" t="s">
        <v>11</v>
      </c>
      <c r="H53" t="s">
        <v>491</v>
      </c>
      <c r="I53" t="s">
        <v>469</v>
      </c>
      <c r="J53" t="s">
        <v>236</v>
      </c>
      <c r="K53">
        <v>3</v>
      </c>
      <c r="L53" t="s">
        <v>667</v>
      </c>
      <c r="M53">
        <v>69</v>
      </c>
      <c r="N53" s="1" t="s">
        <v>237</v>
      </c>
      <c r="O53" t="s">
        <v>668</v>
      </c>
      <c r="P53" t="s">
        <v>552</v>
      </c>
      <c r="Q53" t="s">
        <v>238</v>
      </c>
      <c r="R53" t="s">
        <v>239</v>
      </c>
    </row>
    <row r="54" spans="1:18" x14ac:dyDescent="0.4">
      <c r="A54">
        <v>53</v>
      </c>
      <c r="B54" t="s">
        <v>240</v>
      </c>
      <c r="C54" t="s">
        <v>86</v>
      </c>
      <c r="D54" t="s">
        <v>39</v>
      </c>
      <c r="E54" t="s">
        <v>715</v>
      </c>
      <c r="F54" t="s">
        <v>112</v>
      </c>
      <c r="G54" t="s">
        <v>17</v>
      </c>
      <c r="H54" t="s">
        <v>241</v>
      </c>
      <c r="I54" t="s">
        <v>469</v>
      </c>
      <c r="J54" t="s">
        <v>241</v>
      </c>
      <c r="K54">
        <v>3</v>
      </c>
      <c r="L54" t="s">
        <v>242</v>
      </c>
      <c r="M54">
        <f>14</f>
        <v>14</v>
      </c>
      <c r="N54" s="1" t="s">
        <v>243</v>
      </c>
      <c r="O54" t="s">
        <v>510</v>
      </c>
      <c r="P54" t="s">
        <v>553</v>
      </c>
      <c r="Q54" t="s">
        <v>244</v>
      </c>
    </row>
    <row r="55" spans="1:18" x14ac:dyDescent="0.4">
      <c r="A55">
        <v>54</v>
      </c>
      <c r="B55" t="s">
        <v>245</v>
      </c>
      <c r="C55" t="s">
        <v>86</v>
      </c>
      <c r="D55" t="s">
        <v>151</v>
      </c>
      <c r="E55" t="s">
        <v>715</v>
      </c>
      <c r="F55" t="s">
        <v>246</v>
      </c>
      <c r="G55" t="s">
        <v>11</v>
      </c>
      <c r="H55" t="s">
        <v>99</v>
      </c>
      <c r="I55" t="s">
        <v>469</v>
      </c>
      <c r="J55" t="s">
        <v>99</v>
      </c>
      <c r="K55">
        <v>4</v>
      </c>
      <c r="L55" t="s">
        <v>247</v>
      </c>
      <c r="M55">
        <f>32</f>
        <v>32</v>
      </c>
      <c r="N55" s="1" t="s">
        <v>248</v>
      </c>
      <c r="O55" t="s">
        <v>594</v>
      </c>
      <c r="P55" t="s">
        <v>595</v>
      </c>
      <c r="Q55" t="s">
        <v>249</v>
      </c>
    </row>
    <row r="56" spans="1:18" x14ac:dyDescent="0.4">
      <c r="A56">
        <v>55</v>
      </c>
      <c r="B56" t="s">
        <v>250</v>
      </c>
      <c r="C56" t="s">
        <v>86</v>
      </c>
      <c r="D56" t="s">
        <v>43</v>
      </c>
      <c r="E56" t="s">
        <v>715</v>
      </c>
      <c r="F56" t="s">
        <v>246</v>
      </c>
      <c r="G56" t="s">
        <v>11</v>
      </c>
      <c r="H56" t="s">
        <v>99</v>
      </c>
      <c r="I56" t="s">
        <v>469</v>
      </c>
      <c r="J56" t="s">
        <v>99</v>
      </c>
      <c r="K56">
        <v>2</v>
      </c>
      <c r="L56" t="s">
        <v>251</v>
      </c>
      <c r="M56">
        <f>27</f>
        <v>27</v>
      </c>
      <c r="N56" t="s">
        <v>252</v>
      </c>
      <c r="O56" t="s">
        <v>541</v>
      </c>
      <c r="P56" t="s">
        <v>554</v>
      </c>
      <c r="Q56" t="s">
        <v>253</v>
      </c>
    </row>
    <row r="57" spans="1:18" x14ac:dyDescent="0.4">
      <c r="A57">
        <v>56</v>
      </c>
      <c r="B57" t="s">
        <v>254</v>
      </c>
      <c r="C57" t="s">
        <v>86</v>
      </c>
      <c r="D57" t="s">
        <v>105</v>
      </c>
      <c r="E57" t="s">
        <v>715</v>
      </c>
      <c r="F57" t="s">
        <v>246</v>
      </c>
      <c r="G57" t="s">
        <v>11</v>
      </c>
      <c r="H57" t="s">
        <v>159</v>
      </c>
      <c r="I57" t="s">
        <v>469</v>
      </c>
      <c r="J57" t="s">
        <v>474</v>
      </c>
      <c r="K57">
        <v>2</v>
      </c>
      <c r="L57" t="s">
        <v>702</v>
      </c>
      <c r="M57">
        <f>133</f>
        <v>133</v>
      </c>
      <c r="N57" s="1" t="s">
        <v>255</v>
      </c>
      <c r="O57" t="s">
        <v>703</v>
      </c>
      <c r="P57" t="s">
        <v>704</v>
      </c>
      <c r="R57" t="s">
        <v>256</v>
      </c>
    </row>
    <row r="58" spans="1:18" x14ac:dyDescent="0.4">
      <c r="A58">
        <v>57</v>
      </c>
      <c r="B58" t="s">
        <v>257</v>
      </c>
      <c r="C58" t="s">
        <v>86</v>
      </c>
      <c r="D58" t="s">
        <v>43</v>
      </c>
      <c r="E58" t="s">
        <v>715</v>
      </c>
      <c r="F58" t="s">
        <v>246</v>
      </c>
      <c r="G58" t="s">
        <v>11</v>
      </c>
      <c r="H58" t="s">
        <v>492</v>
      </c>
      <c r="I58" t="s">
        <v>465</v>
      </c>
      <c r="J58" t="s">
        <v>99</v>
      </c>
      <c r="K58">
        <v>2</v>
      </c>
      <c r="L58" t="s">
        <v>258</v>
      </c>
      <c r="M58">
        <v>10</v>
      </c>
      <c r="N58" s="1" t="s">
        <v>259</v>
      </c>
      <c r="O58" t="s">
        <v>510</v>
      </c>
      <c r="P58" t="s">
        <v>519</v>
      </c>
      <c r="R58" t="s">
        <v>260</v>
      </c>
    </row>
    <row r="59" spans="1:18" x14ac:dyDescent="0.4">
      <c r="A59">
        <v>58</v>
      </c>
      <c r="B59" t="s">
        <v>262</v>
      </c>
      <c r="C59" t="s">
        <v>86</v>
      </c>
      <c r="D59" t="s">
        <v>39</v>
      </c>
      <c r="E59" t="s">
        <v>715</v>
      </c>
      <c r="F59" t="s">
        <v>246</v>
      </c>
      <c r="G59" t="s">
        <v>11</v>
      </c>
      <c r="H59" t="s">
        <v>493</v>
      </c>
      <c r="I59" t="s">
        <v>465</v>
      </c>
      <c r="J59" t="s">
        <v>196</v>
      </c>
      <c r="K59">
        <v>2</v>
      </c>
      <c r="L59" t="s">
        <v>261</v>
      </c>
      <c r="M59">
        <v>7</v>
      </c>
      <c r="N59" s="1" t="s">
        <v>263</v>
      </c>
      <c r="O59" t="s">
        <v>598</v>
      </c>
      <c r="P59" t="s">
        <v>596</v>
      </c>
      <c r="Q59" t="s">
        <v>264</v>
      </c>
    </row>
    <row r="60" spans="1:18" x14ac:dyDescent="0.4">
      <c r="A60">
        <v>59</v>
      </c>
      <c r="B60" t="s">
        <v>265</v>
      </c>
      <c r="C60" t="s">
        <v>86</v>
      </c>
      <c r="D60" t="s">
        <v>27</v>
      </c>
      <c r="E60" t="s">
        <v>715</v>
      </c>
      <c r="F60" t="s">
        <v>246</v>
      </c>
      <c r="G60" t="s">
        <v>11</v>
      </c>
      <c r="H60" t="s">
        <v>99</v>
      </c>
      <c r="I60" t="s">
        <v>469</v>
      </c>
      <c r="J60" t="s">
        <v>99</v>
      </c>
      <c r="K60">
        <v>2</v>
      </c>
      <c r="L60" t="s">
        <v>266</v>
      </c>
      <c r="M60">
        <v>48</v>
      </c>
      <c r="N60" s="1" t="s">
        <v>267</v>
      </c>
      <c r="O60" t="s">
        <v>599</v>
      </c>
      <c r="P60" t="s">
        <v>597</v>
      </c>
      <c r="R60" t="s">
        <v>268</v>
      </c>
    </row>
    <row r="61" spans="1:18" x14ac:dyDescent="0.4">
      <c r="A61">
        <v>60</v>
      </c>
      <c r="B61" t="s">
        <v>269</v>
      </c>
      <c r="C61" t="s">
        <v>86</v>
      </c>
      <c r="D61" t="s">
        <v>43</v>
      </c>
      <c r="E61" t="s">
        <v>715</v>
      </c>
      <c r="F61" t="s">
        <v>246</v>
      </c>
      <c r="G61" t="s">
        <v>11</v>
      </c>
      <c r="H61" t="s">
        <v>159</v>
      </c>
      <c r="I61" t="s">
        <v>469</v>
      </c>
      <c r="J61" t="s">
        <v>474</v>
      </c>
      <c r="K61">
        <v>4</v>
      </c>
      <c r="L61" t="s">
        <v>273</v>
      </c>
      <c r="M61">
        <f>63+52</f>
        <v>115</v>
      </c>
      <c r="N61" s="1" t="s">
        <v>270</v>
      </c>
      <c r="O61" t="s">
        <v>600</v>
      </c>
      <c r="P61" t="s">
        <v>601</v>
      </c>
      <c r="Q61" t="s">
        <v>440</v>
      </c>
      <c r="R61" t="s">
        <v>271</v>
      </c>
    </row>
    <row r="62" spans="1:18" x14ac:dyDescent="0.4">
      <c r="A62">
        <v>61</v>
      </c>
      <c r="B62" t="s">
        <v>272</v>
      </c>
      <c r="C62" t="s">
        <v>86</v>
      </c>
      <c r="D62" t="s">
        <v>43</v>
      </c>
      <c r="E62" t="s">
        <v>715</v>
      </c>
      <c r="F62" t="s">
        <v>246</v>
      </c>
      <c r="G62" t="s">
        <v>11</v>
      </c>
      <c r="H62" t="s">
        <v>159</v>
      </c>
      <c r="I62" t="s">
        <v>469</v>
      </c>
      <c r="J62" t="s">
        <v>474</v>
      </c>
      <c r="K62">
        <v>4</v>
      </c>
      <c r="L62" t="s">
        <v>273</v>
      </c>
      <c r="M62">
        <f>120</f>
        <v>120</v>
      </c>
      <c r="N62" s="1" t="s">
        <v>270</v>
      </c>
      <c r="O62" t="s">
        <v>600</v>
      </c>
      <c r="P62" t="s">
        <v>601</v>
      </c>
      <c r="Q62" t="s">
        <v>440</v>
      </c>
    </row>
    <row r="63" spans="1:18" x14ac:dyDescent="0.4">
      <c r="A63">
        <v>62</v>
      </c>
      <c r="B63" t="s">
        <v>274</v>
      </c>
      <c r="C63" t="s">
        <v>86</v>
      </c>
      <c r="D63" t="s">
        <v>39</v>
      </c>
      <c r="E63" t="s">
        <v>715</v>
      </c>
      <c r="F63" t="s">
        <v>246</v>
      </c>
      <c r="G63" t="s">
        <v>17</v>
      </c>
      <c r="H63" t="s">
        <v>241</v>
      </c>
      <c r="I63" t="s">
        <v>469</v>
      </c>
      <c r="J63" t="s">
        <v>241</v>
      </c>
      <c r="K63">
        <v>6</v>
      </c>
      <c r="L63" t="s">
        <v>275</v>
      </c>
      <c r="M63">
        <v>36</v>
      </c>
      <c r="N63" s="1" t="s">
        <v>276</v>
      </c>
      <c r="O63" t="s">
        <v>603</v>
      </c>
      <c r="P63" t="s">
        <v>602</v>
      </c>
      <c r="Q63" t="s">
        <v>277</v>
      </c>
    </row>
    <row r="64" spans="1:18" x14ac:dyDescent="0.4">
      <c r="A64">
        <v>63</v>
      </c>
      <c r="B64" t="s">
        <v>278</v>
      </c>
      <c r="C64" t="s">
        <v>86</v>
      </c>
      <c r="D64" t="s">
        <v>39</v>
      </c>
      <c r="E64" t="s">
        <v>715</v>
      </c>
      <c r="F64" t="s">
        <v>112</v>
      </c>
      <c r="G64" t="s">
        <v>17</v>
      </c>
      <c r="H64" t="s">
        <v>241</v>
      </c>
      <c r="I64" t="s">
        <v>469</v>
      </c>
      <c r="J64" t="s">
        <v>241</v>
      </c>
      <c r="K64">
        <v>5</v>
      </c>
      <c r="L64" t="s">
        <v>279</v>
      </c>
      <c r="M64">
        <v>35</v>
      </c>
      <c r="N64" s="1" t="s">
        <v>280</v>
      </c>
      <c r="O64" t="s">
        <v>604</v>
      </c>
      <c r="P64" t="s">
        <v>605</v>
      </c>
      <c r="Q64" t="s">
        <v>281</v>
      </c>
    </row>
    <row r="65" spans="1:19" x14ac:dyDescent="0.4">
      <c r="A65">
        <v>64</v>
      </c>
      <c r="B65" t="s">
        <v>282</v>
      </c>
      <c r="C65" t="s">
        <v>86</v>
      </c>
      <c r="D65" t="s">
        <v>43</v>
      </c>
      <c r="E65" t="s">
        <v>715</v>
      </c>
      <c r="F65" t="s">
        <v>246</v>
      </c>
      <c r="G65" t="s">
        <v>283</v>
      </c>
      <c r="H65" t="s">
        <v>49</v>
      </c>
      <c r="I65" t="s">
        <v>469</v>
      </c>
      <c r="J65" t="s">
        <v>99</v>
      </c>
      <c r="K65">
        <v>3</v>
      </c>
      <c r="L65" t="s">
        <v>284</v>
      </c>
      <c r="M65">
        <v>9</v>
      </c>
      <c r="N65" s="1" t="s">
        <v>606</v>
      </c>
      <c r="O65" t="s">
        <v>542</v>
      </c>
      <c r="P65" t="s">
        <v>607</v>
      </c>
      <c r="R65" t="s">
        <v>285</v>
      </c>
      <c r="S65" t="s">
        <v>446</v>
      </c>
    </row>
    <row r="66" spans="1:19" x14ac:dyDescent="0.4">
      <c r="A66">
        <v>65</v>
      </c>
      <c r="B66" t="s">
        <v>287</v>
      </c>
      <c r="C66" t="s">
        <v>86</v>
      </c>
      <c r="D66" t="s">
        <v>43</v>
      </c>
      <c r="E66" t="s">
        <v>715</v>
      </c>
      <c r="F66" t="s">
        <v>246</v>
      </c>
      <c r="G66" t="s">
        <v>17</v>
      </c>
      <c r="H66" t="s">
        <v>288</v>
      </c>
      <c r="I66" t="s">
        <v>469</v>
      </c>
      <c r="J66" t="s">
        <v>414</v>
      </c>
      <c r="K66">
        <v>6</v>
      </c>
      <c r="L66" t="s">
        <v>289</v>
      </c>
      <c r="M66">
        <f>K66*3</f>
        <v>18</v>
      </c>
      <c r="N66" s="1" t="s">
        <v>290</v>
      </c>
      <c r="O66" t="s">
        <v>608</v>
      </c>
      <c r="P66" t="s">
        <v>609</v>
      </c>
      <c r="S66" t="s">
        <v>444</v>
      </c>
    </row>
    <row r="67" spans="1:19" x14ac:dyDescent="0.4">
      <c r="A67">
        <v>66</v>
      </c>
      <c r="B67" t="s">
        <v>292</v>
      </c>
      <c r="C67" t="s">
        <v>86</v>
      </c>
      <c r="D67" t="s">
        <v>57</v>
      </c>
      <c r="E67" t="s">
        <v>714</v>
      </c>
      <c r="F67" t="s">
        <v>246</v>
      </c>
      <c r="G67" t="s">
        <v>17</v>
      </c>
      <c r="H67" t="s">
        <v>66</v>
      </c>
      <c r="I67" t="s">
        <v>469</v>
      </c>
      <c r="J67" t="s">
        <v>66</v>
      </c>
      <c r="K67">
        <v>2</v>
      </c>
      <c r="L67" t="s">
        <v>658</v>
      </c>
      <c r="M67">
        <f>12</f>
        <v>12</v>
      </c>
      <c r="N67" t="s">
        <v>40</v>
      </c>
      <c r="O67" t="s">
        <v>507</v>
      </c>
      <c r="P67" t="s">
        <v>659</v>
      </c>
      <c r="Q67" t="s">
        <v>293</v>
      </c>
      <c r="S67" t="s">
        <v>445</v>
      </c>
    </row>
    <row r="68" spans="1:19" x14ac:dyDescent="0.4">
      <c r="A68">
        <v>67</v>
      </c>
      <c r="B68" t="s">
        <v>294</v>
      </c>
      <c r="C68" t="s">
        <v>86</v>
      </c>
      <c r="D68" t="s">
        <v>57</v>
      </c>
      <c r="E68" t="s">
        <v>714</v>
      </c>
      <c r="F68" t="s">
        <v>9</v>
      </c>
      <c r="G68" t="s">
        <v>295</v>
      </c>
      <c r="H68" t="s">
        <v>296</v>
      </c>
      <c r="I68" t="s">
        <v>465</v>
      </c>
      <c r="J68" t="s">
        <v>459</v>
      </c>
      <c r="K68">
        <v>2</v>
      </c>
      <c r="L68" t="s">
        <v>707</v>
      </c>
      <c r="M68">
        <v>12</v>
      </c>
      <c r="N68" s="1" t="s">
        <v>297</v>
      </c>
      <c r="O68" t="s">
        <v>708</v>
      </c>
      <c r="P68" t="s">
        <v>709</v>
      </c>
    </row>
    <row r="69" spans="1:19" x14ac:dyDescent="0.4">
      <c r="A69">
        <v>68</v>
      </c>
      <c r="B69" t="s">
        <v>298</v>
      </c>
      <c r="C69" t="s">
        <v>86</v>
      </c>
      <c r="D69" t="s">
        <v>29</v>
      </c>
      <c r="E69" t="s">
        <v>715</v>
      </c>
      <c r="F69" t="s">
        <v>299</v>
      </c>
      <c r="G69" t="s">
        <v>11</v>
      </c>
      <c r="H69" t="s">
        <v>99</v>
      </c>
      <c r="I69" t="s">
        <v>469</v>
      </c>
      <c r="J69" t="s">
        <v>99</v>
      </c>
      <c r="K69">
        <v>2</v>
      </c>
      <c r="L69" t="s">
        <v>669</v>
      </c>
      <c r="M69">
        <f>6</f>
        <v>6</v>
      </c>
      <c r="N69" s="1" t="s">
        <v>300</v>
      </c>
      <c r="O69" t="s">
        <v>670</v>
      </c>
      <c r="P69" t="s">
        <v>543</v>
      </c>
    </row>
    <row r="70" spans="1:19" x14ac:dyDescent="0.4">
      <c r="A70">
        <v>69</v>
      </c>
      <c r="B70" t="s">
        <v>307</v>
      </c>
      <c r="C70" t="s">
        <v>86</v>
      </c>
      <c r="D70" t="s">
        <v>308</v>
      </c>
      <c r="E70" t="s">
        <v>714</v>
      </c>
      <c r="F70" t="s">
        <v>112</v>
      </c>
      <c r="G70" t="s">
        <v>309</v>
      </c>
      <c r="H70" t="s">
        <v>208</v>
      </c>
      <c r="I70" t="s">
        <v>469</v>
      </c>
      <c r="J70" t="s">
        <v>99</v>
      </c>
      <c r="K70">
        <v>2</v>
      </c>
      <c r="L70" t="s">
        <v>310</v>
      </c>
      <c r="M70">
        <v>10</v>
      </c>
      <c r="N70" s="1" t="s">
        <v>311</v>
      </c>
      <c r="O70" t="s">
        <v>544</v>
      </c>
      <c r="P70" t="s">
        <v>556</v>
      </c>
      <c r="R70" t="s">
        <v>312</v>
      </c>
    </row>
    <row r="71" spans="1:19" x14ac:dyDescent="0.4">
      <c r="A71">
        <v>70</v>
      </c>
      <c r="B71" t="s">
        <v>314</v>
      </c>
      <c r="C71" t="s">
        <v>86</v>
      </c>
      <c r="D71" t="s">
        <v>315</v>
      </c>
      <c r="E71" t="s">
        <v>714</v>
      </c>
      <c r="F71" t="s">
        <v>112</v>
      </c>
      <c r="G71" t="s">
        <v>309</v>
      </c>
      <c r="H71" t="s">
        <v>316</v>
      </c>
      <c r="I71" t="s">
        <v>469</v>
      </c>
      <c r="J71" t="s">
        <v>66</v>
      </c>
      <c r="K71">
        <v>5</v>
      </c>
      <c r="L71" t="s">
        <v>317</v>
      </c>
      <c r="M71">
        <f>K71*4+4</f>
        <v>24</v>
      </c>
      <c r="N71" s="1" t="s">
        <v>318</v>
      </c>
      <c r="O71" t="s">
        <v>615</v>
      </c>
      <c r="P71" t="s">
        <v>616</v>
      </c>
      <c r="R71" t="s">
        <v>319</v>
      </c>
    </row>
    <row r="72" spans="1:19" x14ac:dyDescent="0.4">
      <c r="A72">
        <v>71</v>
      </c>
      <c r="B72" t="s">
        <v>321</v>
      </c>
      <c r="C72" t="s">
        <v>86</v>
      </c>
      <c r="D72" t="s">
        <v>18</v>
      </c>
      <c r="E72" t="s">
        <v>715</v>
      </c>
      <c r="F72" t="s">
        <v>112</v>
      </c>
      <c r="G72" t="s">
        <v>322</v>
      </c>
      <c r="H72" t="s">
        <v>323</v>
      </c>
      <c r="I72" t="s">
        <v>469</v>
      </c>
      <c r="J72" t="s">
        <v>323</v>
      </c>
      <c r="K72">
        <v>3</v>
      </c>
      <c r="L72" t="s">
        <v>320</v>
      </c>
      <c r="M72">
        <f>3*4</f>
        <v>12</v>
      </c>
      <c r="N72" s="1" t="s">
        <v>324</v>
      </c>
      <c r="O72" t="s">
        <v>510</v>
      </c>
      <c r="P72" t="s">
        <v>617</v>
      </c>
    </row>
    <row r="73" spans="1:19" x14ac:dyDescent="0.4">
      <c r="A73">
        <v>72</v>
      </c>
      <c r="B73" t="s">
        <v>301</v>
      </c>
      <c r="C73" t="s">
        <v>85</v>
      </c>
      <c r="D73" t="s">
        <v>305</v>
      </c>
      <c r="E73" t="s">
        <v>715</v>
      </c>
      <c r="F73" t="s">
        <v>9</v>
      </c>
      <c r="G73" t="s">
        <v>11</v>
      </c>
      <c r="H73" t="s">
        <v>302</v>
      </c>
      <c r="I73" t="s">
        <v>469</v>
      </c>
      <c r="J73" t="s">
        <v>458</v>
      </c>
      <c r="K73">
        <v>4</v>
      </c>
      <c r="L73" t="s">
        <v>303</v>
      </c>
      <c r="M73">
        <v>23</v>
      </c>
      <c r="N73" s="1" t="s">
        <v>304</v>
      </c>
      <c r="O73" t="s">
        <v>610</v>
      </c>
      <c r="P73" t="s">
        <v>624</v>
      </c>
      <c r="Q73" t="s">
        <v>306</v>
      </c>
    </row>
    <row r="74" spans="1:19" x14ac:dyDescent="0.4">
      <c r="A74">
        <v>73</v>
      </c>
      <c r="B74" t="s">
        <v>325</v>
      </c>
      <c r="C74" t="s">
        <v>85</v>
      </c>
      <c r="D74" t="s">
        <v>105</v>
      </c>
      <c r="E74" t="s">
        <v>715</v>
      </c>
      <c r="F74" t="s">
        <v>9</v>
      </c>
      <c r="G74" t="s">
        <v>309</v>
      </c>
      <c r="H74" t="s">
        <v>326</v>
      </c>
      <c r="I74" t="s">
        <v>469</v>
      </c>
      <c r="J74" t="s">
        <v>326</v>
      </c>
      <c r="K74">
        <v>12</v>
      </c>
      <c r="L74" t="s">
        <v>327</v>
      </c>
      <c r="M74">
        <f>K74*6</f>
        <v>72</v>
      </c>
      <c r="N74" s="1" t="s">
        <v>328</v>
      </c>
      <c r="O74" t="s">
        <v>625</v>
      </c>
      <c r="P74" t="s">
        <v>626</v>
      </c>
      <c r="Q74" t="s">
        <v>329</v>
      </c>
    </row>
    <row r="75" spans="1:19" x14ac:dyDescent="0.4">
      <c r="A75">
        <v>74</v>
      </c>
      <c r="B75" t="s">
        <v>330</v>
      </c>
      <c r="C75" t="s">
        <v>85</v>
      </c>
      <c r="D75" t="s">
        <v>105</v>
      </c>
      <c r="E75" t="s">
        <v>715</v>
      </c>
      <c r="F75" t="s">
        <v>9</v>
      </c>
      <c r="G75" t="s">
        <v>309</v>
      </c>
      <c r="H75" t="s">
        <v>116</v>
      </c>
      <c r="I75" t="s">
        <v>469</v>
      </c>
      <c r="J75" t="s">
        <v>116</v>
      </c>
      <c r="K75">
        <v>6</v>
      </c>
      <c r="L75" t="s">
        <v>332</v>
      </c>
      <c r="M75">
        <f>6*3</f>
        <v>18</v>
      </c>
      <c r="N75" s="1" t="s">
        <v>331</v>
      </c>
      <c r="O75" t="s">
        <v>628</v>
      </c>
      <c r="P75" t="s">
        <v>611</v>
      </c>
    </row>
    <row r="76" spans="1:19" x14ac:dyDescent="0.4">
      <c r="A76">
        <v>75</v>
      </c>
      <c r="B76" t="s">
        <v>333</v>
      </c>
      <c r="C76" t="s">
        <v>85</v>
      </c>
      <c r="D76" t="s">
        <v>334</v>
      </c>
      <c r="E76" t="s">
        <v>715</v>
      </c>
      <c r="F76" t="s">
        <v>9</v>
      </c>
      <c r="G76" t="s">
        <v>295</v>
      </c>
      <c r="H76" t="s">
        <v>335</v>
      </c>
      <c r="I76" t="s">
        <v>465</v>
      </c>
      <c r="J76" t="s">
        <v>335</v>
      </c>
      <c r="K76">
        <v>3</v>
      </c>
      <c r="L76" t="s">
        <v>336</v>
      </c>
      <c r="M76">
        <f>K76*3</f>
        <v>9</v>
      </c>
      <c r="N76" s="1" t="s">
        <v>337</v>
      </c>
      <c r="O76" t="s">
        <v>513</v>
      </c>
      <c r="P76" t="s">
        <v>644</v>
      </c>
    </row>
    <row r="77" spans="1:19" x14ac:dyDescent="0.4">
      <c r="A77">
        <v>76</v>
      </c>
      <c r="B77" t="s">
        <v>340</v>
      </c>
      <c r="C77" t="s">
        <v>85</v>
      </c>
      <c r="D77" t="s">
        <v>29</v>
      </c>
      <c r="E77" t="s">
        <v>715</v>
      </c>
      <c r="F77" t="s">
        <v>9</v>
      </c>
      <c r="G77" t="s">
        <v>322</v>
      </c>
      <c r="H77" t="s">
        <v>339</v>
      </c>
      <c r="I77" t="s">
        <v>469</v>
      </c>
      <c r="J77" t="s">
        <v>339</v>
      </c>
      <c r="K77">
        <v>3</v>
      </c>
      <c r="L77" t="s">
        <v>338</v>
      </c>
      <c r="M77">
        <f>K77*3</f>
        <v>9</v>
      </c>
      <c r="N77" s="1" t="s">
        <v>341</v>
      </c>
      <c r="O77" t="s">
        <v>545</v>
      </c>
      <c r="P77" t="s">
        <v>627</v>
      </c>
    </row>
    <row r="78" spans="1:19" x14ac:dyDescent="0.4">
      <c r="A78">
        <v>77</v>
      </c>
      <c r="B78" t="s">
        <v>342</v>
      </c>
      <c r="C78" t="s">
        <v>85</v>
      </c>
      <c r="D78" t="s">
        <v>27</v>
      </c>
      <c r="E78" t="s">
        <v>715</v>
      </c>
      <c r="F78" t="s">
        <v>9</v>
      </c>
      <c r="G78" t="s">
        <v>11</v>
      </c>
      <c r="H78" t="s">
        <v>96</v>
      </c>
      <c r="I78" t="s">
        <v>469</v>
      </c>
      <c r="J78" t="s">
        <v>414</v>
      </c>
      <c r="K78">
        <v>2</v>
      </c>
      <c r="L78" t="s">
        <v>343</v>
      </c>
      <c r="M78">
        <v>15</v>
      </c>
      <c r="N78" s="1" t="s">
        <v>344</v>
      </c>
      <c r="O78" t="s">
        <v>618</v>
      </c>
      <c r="P78" t="s">
        <v>520</v>
      </c>
    </row>
    <row r="79" spans="1:19" x14ac:dyDescent="0.4">
      <c r="A79">
        <v>78</v>
      </c>
      <c r="B79" t="s">
        <v>345</v>
      </c>
      <c r="C79" t="s">
        <v>85</v>
      </c>
      <c r="D79" t="s">
        <v>43</v>
      </c>
      <c r="E79" t="s">
        <v>715</v>
      </c>
      <c r="F79" t="s">
        <v>9</v>
      </c>
      <c r="G79" t="s">
        <v>17</v>
      </c>
      <c r="H79" t="s">
        <v>347</v>
      </c>
      <c r="I79" t="s">
        <v>465</v>
      </c>
      <c r="J79" t="s">
        <v>466</v>
      </c>
      <c r="K79">
        <v>3</v>
      </c>
      <c r="L79" t="s">
        <v>346</v>
      </c>
      <c r="M79">
        <f>9</f>
        <v>9</v>
      </c>
      <c r="N79" s="1" t="s">
        <v>353</v>
      </c>
      <c r="O79" t="s">
        <v>619</v>
      </c>
      <c r="P79" t="s">
        <v>612</v>
      </c>
    </row>
    <row r="80" spans="1:19" x14ac:dyDescent="0.4">
      <c r="A80">
        <v>79</v>
      </c>
      <c r="B80" t="s">
        <v>348</v>
      </c>
      <c r="C80" t="s">
        <v>85</v>
      </c>
      <c r="D80" t="s">
        <v>29</v>
      </c>
      <c r="E80" t="s">
        <v>715</v>
      </c>
      <c r="F80" t="s">
        <v>9</v>
      </c>
      <c r="G80" t="s">
        <v>349</v>
      </c>
      <c r="H80" t="s">
        <v>350</v>
      </c>
      <c r="I80" t="s">
        <v>465</v>
      </c>
      <c r="J80" t="s">
        <v>350</v>
      </c>
      <c r="K80">
        <v>2</v>
      </c>
      <c r="L80" t="s">
        <v>351</v>
      </c>
      <c r="M80">
        <f>6</f>
        <v>6</v>
      </c>
      <c r="N80" s="1" t="s">
        <v>352</v>
      </c>
      <c r="O80" t="s">
        <v>620</v>
      </c>
      <c r="P80" t="s">
        <v>613</v>
      </c>
    </row>
    <row r="81" spans="1:18" x14ac:dyDescent="0.4">
      <c r="A81">
        <v>80</v>
      </c>
      <c r="B81" t="s">
        <v>354</v>
      </c>
      <c r="C81" t="s">
        <v>85</v>
      </c>
      <c r="D81" t="s">
        <v>29</v>
      </c>
      <c r="E81" t="s">
        <v>715</v>
      </c>
      <c r="F81" t="s">
        <v>9</v>
      </c>
      <c r="G81" t="s">
        <v>11</v>
      </c>
      <c r="H81" t="s">
        <v>494</v>
      </c>
      <c r="I81" t="s">
        <v>465</v>
      </c>
      <c r="J81" t="s">
        <v>241</v>
      </c>
      <c r="K81">
        <v>2</v>
      </c>
      <c r="L81" t="s">
        <v>258</v>
      </c>
      <c r="M81">
        <v>6</v>
      </c>
      <c r="N81" s="1" t="s">
        <v>355</v>
      </c>
      <c r="O81" t="s">
        <v>510</v>
      </c>
      <c r="P81" t="s">
        <v>519</v>
      </c>
    </row>
    <row r="82" spans="1:18" x14ac:dyDescent="0.4">
      <c r="A82">
        <v>81</v>
      </c>
      <c r="B82" t="s">
        <v>356</v>
      </c>
      <c r="C82" t="s">
        <v>85</v>
      </c>
      <c r="D82" t="s">
        <v>43</v>
      </c>
      <c r="E82" t="s">
        <v>715</v>
      </c>
      <c r="F82" t="s">
        <v>9</v>
      </c>
      <c r="G82" t="s">
        <v>17</v>
      </c>
      <c r="H82" t="s">
        <v>326</v>
      </c>
      <c r="I82" t="s">
        <v>469</v>
      </c>
      <c r="J82" t="s">
        <v>326</v>
      </c>
      <c r="K82">
        <v>3</v>
      </c>
      <c r="L82" t="s">
        <v>357</v>
      </c>
      <c r="M82">
        <v>9</v>
      </c>
      <c r="N82" s="1" t="s">
        <v>358</v>
      </c>
      <c r="O82" t="s">
        <v>511</v>
      </c>
      <c r="P82" t="s">
        <v>614</v>
      </c>
    </row>
    <row r="83" spans="1:18" x14ac:dyDescent="0.4">
      <c r="A83">
        <v>82</v>
      </c>
      <c r="B83" t="s">
        <v>359</v>
      </c>
      <c r="C83" t="s">
        <v>85</v>
      </c>
      <c r="D83" t="s">
        <v>105</v>
      </c>
      <c r="E83" t="s">
        <v>715</v>
      </c>
      <c r="F83" t="s">
        <v>9</v>
      </c>
      <c r="G83" t="s">
        <v>11</v>
      </c>
      <c r="H83" t="s">
        <v>495</v>
      </c>
      <c r="I83" t="s">
        <v>465</v>
      </c>
      <c r="J83" t="s">
        <v>466</v>
      </c>
      <c r="K83">
        <v>7</v>
      </c>
      <c r="L83" t="s">
        <v>635</v>
      </c>
      <c r="M83">
        <f>K83*3</f>
        <v>21</v>
      </c>
      <c r="N83" s="1" t="s">
        <v>360</v>
      </c>
      <c r="O83" t="s">
        <v>517</v>
      </c>
      <c r="P83" t="s">
        <v>636</v>
      </c>
      <c r="Q83" t="s">
        <v>438</v>
      </c>
    </row>
    <row r="84" spans="1:18" x14ac:dyDescent="0.4">
      <c r="A84">
        <v>83</v>
      </c>
      <c r="B84" t="s">
        <v>361</v>
      </c>
      <c r="C84" t="s">
        <v>85</v>
      </c>
      <c r="D84" t="s">
        <v>105</v>
      </c>
      <c r="E84" t="s">
        <v>715</v>
      </c>
      <c r="F84" t="s">
        <v>9</v>
      </c>
      <c r="G84" t="s">
        <v>309</v>
      </c>
      <c r="H84" t="s">
        <v>496</v>
      </c>
      <c r="I84" t="s">
        <v>465</v>
      </c>
      <c r="J84" t="s">
        <v>497</v>
      </c>
      <c r="K84">
        <v>2</v>
      </c>
      <c r="L84" t="s">
        <v>363</v>
      </c>
      <c r="M84">
        <f>6</f>
        <v>6</v>
      </c>
      <c r="N84" s="1" t="s">
        <v>362</v>
      </c>
      <c r="O84" t="s">
        <v>557</v>
      </c>
      <c r="P84" t="s">
        <v>560</v>
      </c>
    </row>
    <row r="85" spans="1:18" x14ac:dyDescent="0.4">
      <c r="A85">
        <v>84</v>
      </c>
      <c r="B85" t="s">
        <v>364</v>
      </c>
      <c r="C85" t="s">
        <v>85</v>
      </c>
      <c r="D85" t="s">
        <v>105</v>
      </c>
      <c r="E85" t="s">
        <v>715</v>
      </c>
      <c r="F85" t="s">
        <v>9</v>
      </c>
      <c r="G85" t="s">
        <v>11</v>
      </c>
      <c r="H85" t="s">
        <v>498</v>
      </c>
      <c r="I85" t="s">
        <v>465</v>
      </c>
      <c r="J85" t="s">
        <v>499</v>
      </c>
      <c r="K85">
        <v>4</v>
      </c>
      <c r="L85" t="s">
        <v>365</v>
      </c>
      <c r="M85">
        <f>4*K85</f>
        <v>16</v>
      </c>
      <c r="N85" s="1" t="s">
        <v>366</v>
      </c>
      <c r="O85" t="s">
        <v>561</v>
      </c>
      <c r="P85" t="s">
        <v>562</v>
      </c>
    </row>
    <row r="86" spans="1:18" x14ac:dyDescent="0.4">
      <c r="A86">
        <v>85</v>
      </c>
      <c r="B86" t="s">
        <v>368</v>
      </c>
      <c r="C86" t="s">
        <v>85</v>
      </c>
      <c r="D86" t="s">
        <v>29</v>
      </c>
      <c r="E86" t="s">
        <v>715</v>
      </c>
      <c r="F86" t="s">
        <v>9</v>
      </c>
      <c r="G86" t="s">
        <v>349</v>
      </c>
      <c r="H86" t="s">
        <v>350</v>
      </c>
      <c r="I86" t="s">
        <v>465</v>
      </c>
      <c r="J86" t="s">
        <v>350</v>
      </c>
      <c r="K86">
        <v>8</v>
      </c>
      <c r="L86" t="s">
        <v>367</v>
      </c>
      <c r="M86">
        <f>8*4</f>
        <v>32</v>
      </c>
      <c r="N86" s="1" t="s">
        <v>369</v>
      </c>
      <c r="O86" t="s">
        <v>637</v>
      </c>
      <c r="P86" t="s">
        <v>638</v>
      </c>
    </row>
    <row r="87" spans="1:18" x14ac:dyDescent="0.4">
      <c r="A87">
        <v>86</v>
      </c>
      <c r="B87" t="s">
        <v>370</v>
      </c>
      <c r="C87" t="s">
        <v>85</v>
      </c>
      <c r="D87" t="s">
        <v>43</v>
      </c>
      <c r="E87" t="s">
        <v>715</v>
      </c>
      <c r="F87" t="s">
        <v>9</v>
      </c>
      <c r="G87" t="s">
        <v>11</v>
      </c>
      <c r="H87" t="s">
        <v>500</v>
      </c>
      <c r="I87" t="s">
        <v>469</v>
      </c>
      <c r="J87" t="s">
        <v>501</v>
      </c>
      <c r="K87">
        <v>4</v>
      </c>
      <c r="L87" t="s">
        <v>372</v>
      </c>
      <c r="M87">
        <f>4*4</f>
        <v>16</v>
      </c>
      <c r="N87" s="1" t="s">
        <v>373</v>
      </c>
      <c r="O87" t="s">
        <v>639</v>
      </c>
      <c r="P87" t="s">
        <v>621</v>
      </c>
      <c r="Q87" t="s">
        <v>371</v>
      </c>
    </row>
    <row r="88" spans="1:18" x14ac:dyDescent="0.4">
      <c r="A88">
        <v>87</v>
      </c>
      <c r="B88" t="s">
        <v>374</v>
      </c>
      <c r="C88" t="s">
        <v>85</v>
      </c>
      <c r="D88" t="s">
        <v>43</v>
      </c>
      <c r="E88" t="s">
        <v>715</v>
      </c>
      <c r="F88" t="s">
        <v>9</v>
      </c>
      <c r="G88" t="s">
        <v>17</v>
      </c>
      <c r="H88" t="s">
        <v>502</v>
      </c>
      <c r="I88" t="s">
        <v>465</v>
      </c>
      <c r="J88" t="s">
        <v>467</v>
      </c>
      <c r="K88">
        <v>4</v>
      </c>
      <c r="L88" t="s">
        <v>375</v>
      </c>
      <c r="M88">
        <f>4*5</f>
        <v>20</v>
      </c>
      <c r="N88" s="1" t="s">
        <v>376</v>
      </c>
      <c r="O88" t="s">
        <v>622</v>
      </c>
      <c r="P88" t="s">
        <v>629</v>
      </c>
      <c r="R88" t="s">
        <v>377</v>
      </c>
    </row>
    <row r="89" spans="1:18" x14ac:dyDescent="0.4">
      <c r="A89">
        <v>88</v>
      </c>
      <c r="B89" t="s">
        <v>384</v>
      </c>
      <c r="C89" t="s">
        <v>85</v>
      </c>
      <c r="D89" t="s">
        <v>105</v>
      </c>
      <c r="E89" t="s">
        <v>715</v>
      </c>
      <c r="F89" t="s">
        <v>9</v>
      </c>
      <c r="G89" t="s">
        <v>385</v>
      </c>
      <c r="H89" t="s">
        <v>386</v>
      </c>
      <c r="I89" t="s">
        <v>469</v>
      </c>
      <c r="J89" t="s">
        <v>386</v>
      </c>
      <c r="K89">
        <v>8</v>
      </c>
      <c r="L89" t="s">
        <v>387</v>
      </c>
      <c r="M89">
        <f>6*3</f>
        <v>18</v>
      </c>
      <c r="N89" s="1" t="s">
        <v>388</v>
      </c>
      <c r="O89" t="s">
        <v>641</v>
      </c>
      <c r="P89" t="s">
        <v>642</v>
      </c>
      <c r="Q89" t="s">
        <v>437</v>
      </c>
    </row>
    <row r="90" spans="1:18" x14ac:dyDescent="0.4">
      <c r="A90">
        <v>89</v>
      </c>
      <c r="B90" t="s">
        <v>391</v>
      </c>
      <c r="C90" t="s">
        <v>85</v>
      </c>
      <c r="D90" t="s">
        <v>43</v>
      </c>
      <c r="E90" t="s">
        <v>715</v>
      </c>
      <c r="F90" t="s">
        <v>9</v>
      </c>
      <c r="G90" t="s">
        <v>11</v>
      </c>
      <c r="H90" t="s">
        <v>503</v>
      </c>
      <c r="I90" t="s">
        <v>465</v>
      </c>
      <c r="J90" t="s">
        <v>458</v>
      </c>
      <c r="K90">
        <v>3</v>
      </c>
      <c r="L90" t="s">
        <v>392</v>
      </c>
      <c r="M90">
        <f>3*4</f>
        <v>12</v>
      </c>
      <c r="N90" s="1" t="s">
        <v>393</v>
      </c>
      <c r="O90" t="s">
        <v>517</v>
      </c>
      <c r="P90" t="s">
        <v>630</v>
      </c>
    </row>
    <row r="91" spans="1:18" x14ac:dyDescent="0.4">
      <c r="A91">
        <v>90</v>
      </c>
      <c r="B91" t="s">
        <v>394</v>
      </c>
      <c r="C91" t="s">
        <v>85</v>
      </c>
      <c r="D91" t="s">
        <v>105</v>
      </c>
      <c r="E91" t="s">
        <v>715</v>
      </c>
      <c r="F91" t="s">
        <v>9</v>
      </c>
      <c r="G91" t="s">
        <v>395</v>
      </c>
      <c r="H91" t="s">
        <v>396</v>
      </c>
      <c r="I91" t="s">
        <v>469</v>
      </c>
      <c r="J91" t="s">
        <v>396</v>
      </c>
      <c r="K91">
        <v>2</v>
      </c>
      <c r="L91" t="s">
        <v>397</v>
      </c>
      <c r="M91">
        <f>6</f>
        <v>6</v>
      </c>
      <c r="N91" s="1" t="s">
        <v>398</v>
      </c>
      <c r="O91" t="s">
        <v>511</v>
      </c>
      <c r="P91" t="s">
        <v>563</v>
      </c>
    </row>
    <row r="92" spans="1:18" x14ac:dyDescent="0.4">
      <c r="A92">
        <v>91</v>
      </c>
      <c r="B92" t="s">
        <v>439</v>
      </c>
      <c r="C92" t="s">
        <v>85</v>
      </c>
      <c r="D92" t="s">
        <v>57</v>
      </c>
      <c r="E92" t="s">
        <v>714</v>
      </c>
      <c r="F92" t="s">
        <v>9</v>
      </c>
      <c r="G92" t="s">
        <v>11</v>
      </c>
      <c r="H92" t="s">
        <v>400</v>
      </c>
      <c r="I92" t="s">
        <v>469</v>
      </c>
      <c r="J92" t="s">
        <v>466</v>
      </c>
      <c r="K92">
        <v>3</v>
      </c>
      <c r="L92" t="s">
        <v>399</v>
      </c>
      <c r="M92">
        <v>13</v>
      </c>
      <c r="N92" s="1" t="s">
        <v>401</v>
      </c>
      <c r="O92" t="s">
        <v>564</v>
      </c>
      <c r="P92" t="s">
        <v>623</v>
      </c>
    </row>
    <row r="93" spans="1:18" x14ac:dyDescent="0.4">
      <c r="A93">
        <v>92</v>
      </c>
      <c r="B93" t="s">
        <v>402</v>
      </c>
      <c r="C93" t="s">
        <v>85</v>
      </c>
      <c r="D93" t="s">
        <v>12</v>
      </c>
      <c r="E93" t="s">
        <v>715</v>
      </c>
      <c r="F93" t="s">
        <v>9</v>
      </c>
      <c r="G93" t="s">
        <v>11</v>
      </c>
      <c r="H93" t="s">
        <v>99</v>
      </c>
      <c r="I93" t="s">
        <v>469</v>
      </c>
      <c r="J93" t="s">
        <v>99</v>
      </c>
      <c r="K93">
        <v>4</v>
      </c>
      <c r="L93" t="s">
        <v>403</v>
      </c>
      <c r="M93">
        <f>158</f>
        <v>158</v>
      </c>
      <c r="N93" s="1" t="s">
        <v>404</v>
      </c>
      <c r="O93" t="s">
        <v>631</v>
      </c>
      <c r="P93" t="s">
        <v>565</v>
      </c>
    </row>
    <row r="94" spans="1:18" x14ac:dyDescent="0.4">
      <c r="A94">
        <v>93</v>
      </c>
      <c r="B94" t="s">
        <v>405</v>
      </c>
      <c r="C94" t="s">
        <v>85</v>
      </c>
      <c r="D94" t="s">
        <v>105</v>
      </c>
      <c r="E94" t="s">
        <v>715</v>
      </c>
      <c r="F94" t="s">
        <v>9</v>
      </c>
      <c r="G94" t="s">
        <v>309</v>
      </c>
      <c r="H94" t="s">
        <v>406</v>
      </c>
      <c r="I94" t="s">
        <v>469</v>
      </c>
      <c r="J94" t="s">
        <v>478</v>
      </c>
      <c r="K94">
        <v>2</v>
      </c>
      <c r="L94" t="s">
        <v>407</v>
      </c>
      <c r="M94">
        <f>16</f>
        <v>16</v>
      </c>
      <c r="N94" s="1" t="s">
        <v>408</v>
      </c>
      <c r="O94" t="s">
        <v>511</v>
      </c>
      <c r="P94" t="s">
        <v>558</v>
      </c>
      <c r="Q94" t="s">
        <v>436</v>
      </c>
    </row>
    <row r="95" spans="1:18" x14ac:dyDescent="0.4">
      <c r="A95">
        <v>94</v>
      </c>
      <c r="B95" t="s">
        <v>409</v>
      </c>
      <c r="C95" t="s">
        <v>85</v>
      </c>
      <c r="D95" t="s">
        <v>43</v>
      </c>
      <c r="E95" t="s">
        <v>715</v>
      </c>
      <c r="F95" t="s">
        <v>9</v>
      </c>
      <c r="G95" t="s">
        <v>411</v>
      </c>
      <c r="H95" t="s">
        <v>480</v>
      </c>
      <c r="I95" t="s">
        <v>465</v>
      </c>
      <c r="J95" t="s">
        <v>504</v>
      </c>
      <c r="K95">
        <v>2</v>
      </c>
      <c r="L95" t="s">
        <v>410</v>
      </c>
      <c r="M95">
        <v>6</v>
      </c>
      <c r="N95" t="s">
        <v>40</v>
      </c>
      <c r="O95" t="s">
        <v>566</v>
      </c>
      <c r="P95" t="s">
        <v>559</v>
      </c>
      <c r="Q95" t="s">
        <v>435</v>
      </c>
    </row>
    <row r="96" spans="1:18" x14ac:dyDescent="0.4">
      <c r="A96">
        <v>95</v>
      </c>
      <c r="B96" t="s">
        <v>412</v>
      </c>
      <c r="C96" t="s">
        <v>85</v>
      </c>
      <c r="D96" t="s">
        <v>105</v>
      </c>
      <c r="E96" t="s">
        <v>715</v>
      </c>
      <c r="F96" t="s">
        <v>9</v>
      </c>
      <c r="G96" t="s">
        <v>17</v>
      </c>
      <c r="H96" t="s">
        <v>414</v>
      </c>
      <c r="I96" t="s">
        <v>469</v>
      </c>
      <c r="J96" t="s">
        <v>414</v>
      </c>
      <c r="K96">
        <v>6</v>
      </c>
      <c r="L96" t="s">
        <v>413</v>
      </c>
      <c r="M96">
        <f>6*8</f>
        <v>48</v>
      </c>
      <c r="N96" s="1" t="s">
        <v>415</v>
      </c>
      <c r="O96" t="s">
        <v>633</v>
      </c>
      <c r="P96" t="s">
        <v>640</v>
      </c>
      <c r="Q96" t="s">
        <v>434</v>
      </c>
    </row>
    <row r="97" spans="1:17" x14ac:dyDescent="0.4">
      <c r="A97">
        <v>96</v>
      </c>
      <c r="B97" t="s">
        <v>416</v>
      </c>
      <c r="C97" t="s">
        <v>85</v>
      </c>
      <c r="D97" t="s">
        <v>39</v>
      </c>
      <c r="E97" t="s">
        <v>715</v>
      </c>
      <c r="F97" t="s">
        <v>9</v>
      </c>
      <c r="G97" t="s">
        <v>395</v>
      </c>
      <c r="H97" t="s">
        <v>505</v>
      </c>
      <c r="I97" t="s">
        <v>465</v>
      </c>
      <c r="J97" t="s">
        <v>505</v>
      </c>
      <c r="K97">
        <v>4</v>
      </c>
      <c r="L97" t="s">
        <v>417</v>
      </c>
      <c r="M97">
        <f>4*3</f>
        <v>12</v>
      </c>
      <c r="N97" s="1" t="s">
        <v>421</v>
      </c>
      <c r="O97" t="s">
        <v>567</v>
      </c>
      <c r="P97" t="s">
        <v>568</v>
      </c>
      <c r="Q97" t="s">
        <v>433</v>
      </c>
    </row>
    <row r="98" spans="1:17" x14ac:dyDescent="0.4">
      <c r="A98">
        <v>97</v>
      </c>
      <c r="B98" t="s">
        <v>418</v>
      </c>
      <c r="C98" t="s">
        <v>85</v>
      </c>
      <c r="D98" t="s">
        <v>186</v>
      </c>
      <c r="E98" t="s">
        <v>714</v>
      </c>
      <c r="F98" t="s">
        <v>9</v>
      </c>
      <c r="G98" t="s">
        <v>11</v>
      </c>
      <c r="H98" t="s">
        <v>49</v>
      </c>
      <c r="I98" t="s">
        <v>469</v>
      </c>
      <c r="J98" t="s">
        <v>99</v>
      </c>
      <c r="K98">
        <v>3</v>
      </c>
      <c r="L98" t="s">
        <v>419</v>
      </c>
      <c r="M98">
        <f>30</f>
        <v>30</v>
      </c>
      <c r="N98" s="1" t="s">
        <v>420</v>
      </c>
      <c r="O98" t="s">
        <v>618</v>
      </c>
      <c r="P98" t="s">
        <v>643</v>
      </c>
    </row>
    <row r="99" spans="1:17" x14ac:dyDescent="0.4">
      <c r="A99">
        <v>98</v>
      </c>
      <c r="B99" t="s">
        <v>423</v>
      </c>
      <c r="C99" t="s">
        <v>85</v>
      </c>
      <c r="D99" t="s">
        <v>424</v>
      </c>
      <c r="E99" t="s">
        <v>715</v>
      </c>
      <c r="F99" t="s">
        <v>9</v>
      </c>
      <c r="G99" t="s">
        <v>11</v>
      </c>
      <c r="H99" t="s">
        <v>49</v>
      </c>
      <c r="I99" t="s">
        <v>469</v>
      </c>
      <c r="J99" t="s">
        <v>99</v>
      </c>
      <c r="K99">
        <v>3</v>
      </c>
      <c r="L99" t="s">
        <v>422</v>
      </c>
      <c r="M99">
        <f>15</f>
        <v>15</v>
      </c>
      <c r="N99" s="1" t="s">
        <v>425</v>
      </c>
      <c r="O99" t="s">
        <v>632</v>
      </c>
      <c r="P99" t="s">
        <v>634</v>
      </c>
      <c r="Q99" t="s">
        <v>432</v>
      </c>
    </row>
    <row r="100" spans="1:17" x14ac:dyDescent="0.4">
      <c r="A100">
        <v>99</v>
      </c>
      <c r="B100" t="s">
        <v>427</v>
      </c>
      <c r="C100" t="s">
        <v>85</v>
      </c>
      <c r="D100" t="s">
        <v>27</v>
      </c>
      <c r="E100" t="s">
        <v>715</v>
      </c>
      <c r="F100" t="s">
        <v>48</v>
      </c>
      <c r="G100" t="s">
        <v>428</v>
      </c>
      <c r="H100" t="s">
        <v>99</v>
      </c>
      <c r="I100" t="s">
        <v>469</v>
      </c>
      <c r="J100" t="s">
        <v>99</v>
      </c>
      <c r="K100">
        <v>3</v>
      </c>
      <c r="L100" t="s">
        <v>426</v>
      </c>
      <c r="M100">
        <f>60</f>
        <v>60</v>
      </c>
      <c r="N100" t="s">
        <v>40</v>
      </c>
      <c r="O100" t="s">
        <v>569</v>
      </c>
      <c r="P100" t="s">
        <v>508</v>
      </c>
      <c r="Q100" t="s">
        <v>431</v>
      </c>
    </row>
    <row r="101" spans="1:17" x14ac:dyDescent="0.4">
      <c r="A101">
        <v>100</v>
      </c>
      <c r="B101" t="s">
        <v>429</v>
      </c>
      <c r="C101" t="s">
        <v>85</v>
      </c>
      <c r="D101" t="s">
        <v>57</v>
      </c>
      <c r="E101" t="s">
        <v>714</v>
      </c>
      <c r="F101" t="s">
        <v>48</v>
      </c>
      <c r="G101" t="s">
        <v>17</v>
      </c>
      <c r="H101" t="s">
        <v>506</v>
      </c>
      <c r="I101" t="s">
        <v>469</v>
      </c>
      <c r="J101" t="s">
        <v>66</v>
      </c>
      <c r="K101">
        <v>3</v>
      </c>
      <c r="L101" t="s">
        <v>710</v>
      </c>
      <c r="M101">
        <f>3*4</f>
        <v>12</v>
      </c>
      <c r="N101" s="1" t="s">
        <v>430</v>
      </c>
      <c r="O101" t="s">
        <v>711</v>
      </c>
      <c r="P101" t="s">
        <v>712</v>
      </c>
    </row>
    <row r="102" spans="1:17" x14ac:dyDescent="0.4">
      <c r="B102" s="1"/>
      <c r="L102" s="4"/>
    </row>
  </sheetData>
  <autoFilter ref="A1:S101" xr:uid="{8BCF4AC8-88B5-4543-8C52-FD30450BEA57}"/>
  <sortState xmlns:xlrd2="http://schemas.microsoft.com/office/spreadsheetml/2017/richdata2" ref="A2:R101">
    <sortCondition ref="A2:A101"/>
  </sortState>
  <hyperlinks>
    <hyperlink ref="N4" r:id="rId1" display="https://doi.org/10.1016/j.stemcr.2022.04.003" xr:uid="{A58B2C92-8135-4993-80B6-E01F7C4414D7}"/>
    <hyperlink ref="N2" r:id="rId2" xr:uid="{ECF580C4-849C-4561-A481-5430106E5AFC}"/>
    <hyperlink ref="N5" r:id="rId3" location="Sec9" xr:uid="{7F005011-D3D0-40EB-9669-AC279104458C}"/>
    <hyperlink ref="N6" r:id="rId4" xr:uid="{A191089C-F484-4E45-8BCC-52AA445AD4F5}"/>
    <hyperlink ref="N8" r:id="rId5" xr:uid="{C5BC7455-0EFA-4A23-B621-721339B38A6F}"/>
    <hyperlink ref="N9" r:id="rId6" xr:uid="{B7CED74B-1E74-43D2-A36B-EAB3B1E178BC}"/>
    <hyperlink ref="N10" r:id="rId7" location="sd" xr:uid="{52E8DACA-8996-4096-ACEA-71C8C40EA025}"/>
    <hyperlink ref="N11" r:id="rId8" xr:uid="{27478232-A532-4DCE-809B-5DD99BA4CE49}"/>
    <hyperlink ref="N12" r:id="rId9" xr:uid="{50937FCB-E158-45DA-96E3-555511B96735}"/>
    <hyperlink ref="N13" r:id="rId10" location="Sec11" xr:uid="{EAAEE3D5-FD5F-4C5E-BEDE-E149007B61D7}"/>
    <hyperlink ref="N14" r:id="rId11" xr:uid="{1466ACE4-040B-4872-B3E7-CB073BC90CE4}"/>
    <hyperlink ref="N15" r:id="rId12" display="https://doi.org/10.1038/s42255-021-00420-9" xr:uid="{AA76EE2A-3D95-4B26-A3B2-D6961FCAA8B9}"/>
    <hyperlink ref="N17" r:id="rId13" xr:uid="{73C3C164-1B9E-424D-B497-0A5C1413062E}"/>
    <hyperlink ref="N18" r:id="rId14" xr:uid="{8E96941A-F27E-446D-BAAB-8817BA69407F}"/>
    <hyperlink ref="N20" r:id="rId15" xr:uid="{612CAC31-BDF9-4217-882E-04BA9D317851}"/>
    <hyperlink ref="N42" r:id="rId16" xr:uid="{A0AABACF-D49B-4ADE-969F-34674947E980}"/>
    <hyperlink ref="N30" r:id="rId17" xr:uid="{798BD1EC-17B3-4197-8EAE-486722AEADF1}"/>
    <hyperlink ref="N31" r:id="rId18" xr:uid="{AE40AA44-2798-47B6-B9FB-02DFCD819A98}"/>
    <hyperlink ref="N21" r:id="rId19" xr:uid="{812AD498-467D-4930-99B1-0BD72991EB74}"/>
    <hyperlink ref="N32" r:id="rId20" xr:uid="{0A4265F2-3C05-4E25-883C-F8A8F58C6D63}"/>
    <hyperlink ref="N33" r:id="rId21" xr:uid="{DBE6CDEE-1512-471E-91A3-29DE9DCD40F4}"/>
    <hyperlink ref="N34" r:id="rId22" xr:uid="{1530F3E7-5FB8-4C45-8815-BC53BEE62E5F}"/>
    <hyperlink ref="N36" r:id="rId23" xr:uid="{81A03F1A-4A0B-4C2D-947D-86D4D18A30FC}"/>
    <hyperlink ref="N37" r:id="rId24" xr:uid="{03A7BDDE-DDD3-4CE4-9A6A-3F28026978CD}"/>
    <hyperlink ref="N38" r:id="rId25" xr:uid="{97D5A0D0-4F73-4447-98D7-176FE36E7E9F}"/>
    <hyperlink ref="N39" r:id="rId26" xr:uid="{3FDDCA56-CB99-4846-8D3C-3F87979E1526}"/>
    <hyperlink ref="N40" r:id="rId27" xr:uid="{7859E8C3-2333-43D3-B478-A44FA49BB177}"/>
    <hyperlink ref="N41" r:id="rId28" xr:uid="{4AAB6572-69BF-4A8C-B9DD-0ECD744015A7}"/>
    <hyperlink ref="N43" r:id="rId29" xr:uid="{AEFB8F3B-EA1A-47CE-B2E9-52C8FEE30E73}"/>
    <hyperlink ref="N44" r:id="rId30" xr:uid="{CB2F7DF2-FC97-4B92-86B1-9479DA20F40F}"/>
    <hyperlink ref="N45" r:id="rId31" xr:uid="{256ADA76-DDF3-43D7-9FF6-3D06B3102F1B}"/>
    <hyperlink ref="N46" r:id="rId32" xr:uid="{8607D0FC-A3CA-4C2C-B9AF-EA3A5742473F}"/>
    <hyperlink ref="N47" r:id="rId33" xr:uid="{CC518961-8295-4994-A3DF-84ED80F14808}"/>
    <hyperlink ref="N48" r:id="rId34" xr:uid="{2FCAA5AF-4D5B-40D6-9710-958A63043040}"/>
    <hyperlink ref="N49" r:id="rId35" xr:uid="{AE407C0D-97C6-498B-BFB4-71C4936A1365}"/>
    <hyperlink ref="N50" r:id="rId36" xr:uid="{92FB0A8D-11DB-4567-8F9B-CF523A119E05}"/>
    <hyperlink ref="N51" r:id="rId37" xr:uid="{207EE6F5-656D-4A38-9817-F2A00ABFCEEE}"/>
    <hyperlink ref="N53" r:id="rId38" xr:uid="{E3F0AF35-4EFD-4690-93B1-C3CEFB35EC15}"/>
    <hyperlink ref="N54" r:id="rId39" xr:uid="{7C683447-D985-423F-B5CD-03B9FB95AD65}"/>
    <hyperlink ref="N55" r:id="rId40" xr:uid="{BDF4E4E0-765A-4F0B-BD68-C69115F0738F}"/>
    <hyperlink ref="N57" r:id="rId41" xr:uid="{C0FA8537-4468-48BF-A054-0D7291F65AE0}"/>
    <hyperlink ref="N58" r:id="rId42" xr:uid="{8D999E26-CBDB-4FE4-ADDB-E6B611D67331}"/>
    <hyperlink ref="N59" r:id="rId43" xr:uid="{7A24ADCF-B6A2-404E-89EC-C398B7118D79}"/>
    <hyperlink ref="N60" r:id="rId44" xr:uid="{0B450A65-6781-41DE-9BEF-0479DD4B3225}"/>
    <hyperlink ref="N61" r:id="rId45" xr:uid="{13A1084D-B36D-4396-A3D3-56FA85A81598}"/>
    <hyperlink ref="N63" r:id="rId46" xr:uid="{815FAA3B-87CE-4626-94FB-28BB0C9DC865}"/>
    <hyperlink ref="N64" r:id="rId47" xr:uid="{87332800-52F9-415F-88A8-13B3218E1B95}"/>
    <hyperlink ref="N62" r:id="rId48" xr:uid="{20655D6D-7A5B-4884-972D-A0B324AF2E09}"/>
    <hyperlink ref="N66" r:id="rId49" xr:uid="{29C9B3AB-C1C5-4CD9-9B61-66EB2F5DB119}"/>
    <hyperlink ref="N68" r:id="rId50" xr:uid="{A5A57614-CF6E-46F6-B6E8-5F616167FA0D}"/>
    <hyperlink ref="N69" r:id="rId51" xr:uid="{01DF9558-6F69-4543-A8DD-1581956A8E01}"/>
    <hyperlink ref="N73" r:id="rId52" xr:uid="{709E7BEA-314C-4B0F-A59A-6BF8CAABD75C}"/>
    <hyperlink ref="N70" r:id="rId53" xr:uid="{9A7B274C-695B-4B24-B4F1-DD64F89BEC2F}"/>
    <hyperlink ref="N71" r:id="rId54" xr:uid="{53F78946-D0F1-45CE-80F4-DCEF51325FA5}"/>
    <hyperlink ref="N72" r:id="rId55" xr:uid="{8853D92F-CF28-4712-9231-7429D3BFBBFB}"/>
    <hyperlink ref="N74" r:id="rId56" xr:uid="{44AE3EE4-BA3F-4C04-B457-C8BE8762DC83}"/>
    <hyperlink ref="N75" r:id="rId57" xr:uid="{DB61579F-438D-4DF9-B387-7F2F5EA1AE5D}"/>
    <hyperlink ref="N76" r:id="rId58" xr:uid="{9C641A84-E07C-4EF1-9FFC-12E3055FF46E}"/>
    <hyperlink ref="N77" r:id="rId59" xr:uid="{35F7105D-4C78-45B1-8E0C-651E22400B24}"/>
    <hyperlink ref="N78" r:id="rId60" xr:uid="{76FAEE4C-5466-4FB1-B104-402F652D0F82}"/>
    <hyperlink ref="N80" r:id="rId61" xr:uid="{B222AC14-18AF-40AE-8D03-B1981FBE28A6}"/>
    <hyperlink ref="N79" r:id="rId62" xr:uid="{B875AC8B-59AF-4BD2-9A20-40747F088572}"/>
    <hyperlink ref="N81" r:id="rId63" xr:uid="{612059EE-8652-46E0-8015-99B298BDC96E}"/>
    <hyperlink ref="N82" r:id="rId64" xr:uid="{2274C7CE-0848-479C-8E48-A92AFCD2DAF3}"/>
    <hyperlink ref="N83" r:id="rId65" tooltip="Persistent link using digital object identifier" xr:uid="{27BFC4E4-9DCB-4C1D-B672-888C8D8E2732}"/>
    <hyperlink ref="N84" r:id="rId66" xr:uid="{3593983D-93B4-45AC-8DAA-EEEB7814C6DA}"/>
    <hyperlink ref="N85" r:id="rId67" xr:uid="{EC9CC085-AE00-427A-8A98-D6B7FAC40915}"/>
    <hyperlink ref="N86" r:id="rId68" xr:uid="{37B11193-AEED-49A8-8DC8-B8B1A4B50E16}"/>
    <hyperlink ref="N87" r:id="rId69" xr:uid="{A403A46C-980D-45D5-B1F3-6B41994824E5}"/>
    <hyperlink ref="N88" r:id="rId70" xr:uid="{15C15D05-2BF6-429B-990B-D4D122B2135A}"/>
    <hyperlink ref="N89" r:id="rId71" display="https://pubs.acs.org/doi/abs/10.1021/acs.jproteome.6b00211" xr:uid="{C8CA3592-D189-4484-9578-3CE6AA7AAAF0}"/>
    <hyperlink ref="N90" r:id="rId72" xr:uid="{EA5E6D9D-EB0C-4CD0-A732-5E51418702BE}"/>
    <hyperlink ref="N91" r:id="rId73" display="https://doi.org/10.1016/j.jbc.2021.100408" xr:uid="{B898DC3E-877C-48D3-B8DB-38527442C91C}"/>
    <hyperlink ref="N92" r:id="rId74" xr:uid="{E631AF55-B593-4564-AD7B-C50AA064B385}"/>
    <hyperlink ref="N93" r:id="rId75" xr:uid="{B2B70E0C-93B6-4E11-96C1-A5E9EACBC9AA}"/>
    <hyperlink ref="N94" r:id="rId76" xr:uid="{9AE33C66-89B4-4F2A-8E68-CFB244668468}"/>
    <hyperlink ref="N96" r:id="rId77" xr:uid="{DE49CA08-17FF-4C18-8C19-DF135E909D8E}"/>
    <hyperlink ref="N98" r:id="rId78" xr:uid="{8925AE44-1384-4094-9B9F-CDCD372A1CA9}"/>
    <hyperlink ref="N97" r:id="rId79" xr:uid="{69516E89-6753-4063-B3E0-FCDA495C291D}"/>
    <hyperlink ref="N99" r:id="rId80" xr:uid="{58BA4A32-0915-4B17-956C-DBF2AC5940FA}"/>
    <hyperlink ref="N101" r:id="rId81" xr:uid="{74804044-9702-465A-B0D4-A230294D0CE5}"/>
    <hyperlink ref="N24" r:id="rId82" xr:uid="{DD198BDC-1A91-40C1-AB2A-6CA2254E3A80}"/>
    <hyperlink ref="N23" r:id="rId83" xr:uid="{54EC2941-3A77-498F-9485-52BE0EAB6EE8}"/>
    <hyperlink ref="N65" r:id="rId84" xr:uid="{2C672FCE-1691-4A02-BDA5-38F14F68F9A1}"/>
    <hyperlink ref="N3" r:id="rId85" xr:uid="{A52741AB-5A3F-448A-85EE-A088C3461BE0}"/>
  </hyperlinks>
  <pageMargins left="0.7" right="0.7" top="0.75" bottom="0.75" header="0.3" footer="0.3"/>
  <pageSetup paperSize="9" orientation="portrait"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87B5-F5A7-4715-8903-807F8D9032AE}">
  <dimension ref="A1:R5"/>
  <sheetViews>
    <sheetView topLeftCell="B1" workbookViewId="0">
      <selection activeCell="C5" sqref="C5"/>
    </sheetView>
  </sheetViews>
  <sheetFormatPr baseColWidth="10" defaultRowHeight="14.6" x14ac:dyDescent="0.4"/>
  <sheetData>
    <row r="1" spans="1:18" s="2" customFormat="1" ht="15.9" x14ac:dyDescent="0.45">
      <c r="A1" s="2" t="s">
        <v>37</v>
      </c>
      <c r="B1" s="2" t="s">
        <v>0</v>
      </c>
      <c r="C1" s="2" t="s">
        <v>1</v>
      </c>
      <c r="D1" s="2" t="s">
        <v>84</v>
      </c>
      <c r="E1" s="2" t="s">
        <v>81</v>
      </c>
      <c r="F1" s="2" t="s">
        <v>2</v>
      </c>
      <c r="G1" s="2" t="s">
        <v>3</v>
      </c>
      <c r="H1" s="2" t="s">
        <v>4</v>
      </c>
      <c r="I1" s="2" t="s">
        <v>10</v>
      </c>
      <c r="J1" s="2" t="s">
        <v>5</v>
      </c>
      <c r="K1" s="2" t="s">
        <v>22</v>
      </c>
      <c r="L1" s="2" t="s">
        <v>6</v>
      </c>
      <c r="M1" s="2" t="s">
        <v>13</v>
      </c>
      <c r="N1" s="2" t="s">
        <v>24</v>
      </c>
      <c r="O1" s="2" t="s">
        <v>19</v>
      </c>
    </row>
    <row r="2" spans="1:18" x14ac:dyDescent="0.4">
      <c r="A2">
        <v>15</v>
      </c>
      <c r="B2" t="s">
        <v>75</v>
      </c>
      <c r="C2" t="s">
        <v>8</v>
      </c>
      <c r="D2" t="s">
        <v>85</v>
      </c>
      <c r="E2" t="s">
        <v>82</v>
      </c>
      <c r="F2" t="s">
        <v>27</v>
      </c>
      <c r="G2" t="s">
        <v>76</v>
      </c>
      <c r="H2" t="s">
        <v>11</v>
      </c>
      <c r="I2" t="s">
        <v>77</v>
      </c>
      <c r="J2">
        <v>7</v>
      </c>
      <c r="K2" t="s">
        <v>78</v>
      </c>
      <c r="L2">
        <v>365</v>
      </c>
      <c r="M2" s="1" t="s">
        <v>83</v>
      </c>
      <c r="N2" t="s">
        <v>79</v>
      </c>
      <c r="O2" t="s">
        <v>80</v>
      </c>
    </row>
    <row r="3" spans="1:18" x14ac:dyDescent="0.4">
      <c r="B3">
        <v>23</v>
      </c>
      <c r="C3" t="s">
        <v>450</v>
      </c>
      <c r="D3" t="s">
        <v>8</v>
      </c>
      <c r="E3" t="s">
        <v>86</v>
      </c>
      <c r="F3" t="s">
        <v>105</v>
      </c>
      <c r="G3" t="s">
        <v>112</v>
      </c>
      <c r="H3" t="s">
        <v>11</v>
      </c>
      <c r="I3" t="s">
        <v>99</v>
      </c>
      <c r="J3">
        <v>2</v>
      </c>
      <c r="K3" t="s">
        <v>119</v>
      </c>
      <c r="L3">
        <v>20</v>
      </c>
      <c r="M3" s="1" t="s">
        <v>120</v>
      </c>
      <c r="P3" t="s">
        <v>447</v>
      </c>
    </row>
    <row r="4" spans="1:18" x14ac:dyDescent="0.4">
      <c r="B4">
        <v>27</v>
      </c>
      <c r="C4" t="s">
        <v>128</v>
      </c>
      <c r="D4" t="s">
        <v>8</v>
      </c>
      <c r="E4" t="s">
        <v>86</v>
      </c>
      <c r="F4" t="s">
        <v>39</v>
      </c>
      <c r="G4" t="s">
        <v>112</v>
      </c>
      <c r="H4" t="s">
        <v>17</v>
      </c>
      <c r="I4" t="s">
        <v>113</v>
      </c>
      <c r="J4">
        <v>3</v>
      </c>
      <c r="K4" t="s">
        <v>129</v>
      </c>
      <c r="L4">
        <v>9</v>
      </c>
      <c r="M4" s="1" t="s">
        <v>130</v>
      </c>
      <c r="P4" t="s">
        <v>448</v>
      </c>
    </row>
    <row r="5" spans="1:18" x14ac:dyDescent="0.4">
      <c r="B5">
        <v>2</v>
      </c>
      <c r="C5" t="s">
        <v>21</v>
      </c>
      <c r="D5" t="s">
        <v>85</v>
      </c>
      <c r="E5" t="s">
        <v>18</v>
      </c>
      <c r="F5" t="s">
        <v>9</v>
      </c>
      <c r="G5" t="s">
        <v>11</v>
      </c>
      <c r="H5" t="s">
        <v>400</v>
      </c>
      <c r="I5" t="s">
        <v>465</v>
      </c>
      <c r="J5" t="s">
        <v>466</v>
      </c>
      <c r="K5">
        <v>4</v>
      </c>
      <c r="L5" t="s">
        <v>23</v>
      </c>
      <c r="M5">
        <f>4*5</f>
        <v>20</v>
      </c>
      <c r="N5" s="3" t="s">
        <v>25</v>
      </c>
      <c r="R5" t="s">
        <v>88</v>
      </c>
    </row>
  </sheetData>
  <hyperlinks>
    <hyperlink ref="M2" r:id="rId1" xr:uid="{6B2D74F5-F272-4070-8CE0-D8DD58A4FA2E}"/>
    <hyperlink ref="M3" r:id="rId2" xr:uid="{F34454E9-13F4-4934-B2C3-5A947F9A8BF5}"/>
    <hyperlink ref="M4" r:id="rId3" xr:uid="{7AC1F143-25A4-4422-8D04-560DC3661B69}"/>
    <hyperlink ref="N5" r:id="rId4" xr:uid="{7D228E1D-80DD-4B5E-A885-5940F2BD34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E459-6599-4D39-A6E4-9FCCBAA2B3FA}">
  <dimension ref="A1:B12"/>
  <sheetViews>
    <sheetView workbookViewId="0">
      <selection activeCell="B33" sqref="B33"/>
    </sheetView>
  </sheetViews>
  <sheetFormatPr baseColWidth="10" defaultRowHeight="14.6" x14ac:dyDescent="0.4"/>
  <cols>
    <col min="2" max="2" width="65.53515625" bestFit="1" customWidth="1"/>
  </cols>
  <sheetData>
    <row r="1" spans="1:2" x14ac:dyDescent="0.4">
      <c r="A1" t="s">
        <v>0</v>
      </c>
      <c r="B1" t="s">
        <v>227</v>
      </c>
    </row>
    <row r="2" spans="1:2" x14ac:dyDescent="0.4">
      <c r="A2" t="s">
        <v>225</v>
      </c>
      <c r="B2" t="s">
        <v>226</v>
      </c>
    </row>
    <row r="3" spans="1:2" x14ac:dyDescent="0.4">
      <c r="A3" t="s">
        <v>228</v>
      </c>
      <c r="B3" t="s">
        <v>229</v>
      </c>
    </row>
    <row r="4" spans="1:2" x14ac:dyDescent="0.4">
      <c r="A4" t="s">
        <v>230</v>
      </c>
      <c r="B4" t="s">
        <v>231</v>
      </c>
    </row>
    <row r="5" spans="1:2" x14ac:dyDescent="0.4">
      <c r="A5" t="s">
        <v>232</v>
      </c>
      <c r="B5" t="s">
        <v>233</v>
      </c>
    </row>
    <row r="6" spans="1:2" x14ac:dyDescent="0.4">
      <c r="A6" t="s">
        <v>286</v>
      </c>
      <c r="B6" t="s">
        <v>291</v>
      </c>
    </row>
    <row r="7" spans="1:2" x14ac:dyDescent="0.4">
      <c r="A7" t="s">
        <v>307</v>
      </c>
      <c r="B7" t="s">
        <v>313</v>
      </c>
    </row>
    <row r="8" spans="1:2" x14ac:dyDescent="0.4">
      <c r="A8" t="s">
        <v>378</v>
      </c>
      <c r="B8" t="s">
        <v>379</v>
      </c>
    </row>
    <row r="9" spans="1:2" x14ac:dyDescent="0.4">
      <c r="A9" t="s">
        <v>380</v>
      </c>
      <c r="B9" t="s">
        <v>381</v>
      </c>
    </row>
    <row r="10" spans="1:2" x14ac:dyDescent="0.4">
      <c r="A10" t="s">
        <v>382</v>
      </c>
      <c r="B10" t="s">
        <v>383</v>
      </c>
    </row>
    <row r="11" spans="1:2" x14ac:dyDescent="0.4">
      <c r="A11" t="s">
        <v>389</v>
      </c>
      <c r="B11" t="s">
        <v>390</v>
      </c>
    </row>
    <row r="12" spans="1:2" x14ac:dyDescent="0.4">
      <c r="A12" t="s">
        <v>441</v>
      </c>
      <c r="B12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</vt:lpstr>
      <vt:lpstr>Out</vt:lpstr>
      <vt:lpstr>Possible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2026-01-26T09:11:49Z</dcterms:created>
  <dcterms:modified xsi:type="dcterms:W3CDTF">2026-04-23T12:13:06Z</dcterms:modified>
</cp:coreProperties>
</file>