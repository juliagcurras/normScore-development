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a\Documents\GitHub\normScore\Simulations\CESGA\"/>
    </mc:Choice>
  </mc:AlternateContent>
  <xr:revisionPtr revIDLastSave="0" documentId="13_ncr:1_{B4A7DFFB-CFE5-4A69-AEB5-9BD609D0A9EF}" xr6:coauthVersionLast="47" xr6:coauthVersionMax="47" xr10:uidLastSave="{00000000-0000-0000-0000-000000000000}"/>
  <bookViews>
    <workbookView xWindow="17775" yWindow="5670" windowWidth="21930" windowHeight="12975" xr2:uid="{B7C000AD-72BA-48D6-8B28-D6AA0A1B8253}"/>
  </bookViews>
  <sheets>
    <sheet name="Pruebas_Item2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1" i="1" l="1"/>
  <c r="M11" i="1" s="1"/>
  <c r="M15" i="1"/>
  <c r="L15" i="1"/>
  <c r="C15" i="1"/>
  <c r="L13" i="1"/>
  <c r="M13" i="1" s="1"/>
  <c r="C13" i="1"/>
  <c r="M3" i="1"/>
  <c r="M4" i="1"/>
  <c r="M5" i="1"/>
  <c r="M12" i="1"/>
  <c r="M14" i="1"/>
  <c r="M16" i="1"/>
  <c r="M2" i="1"/>
  <c r="L21" i="1"/>
  <c r="M21" i="1" s="1"/>
  <c r="L19" i="1"/>
  <c r="M19" i="1" s="1"/>
  <c r="L20" i="1"/>
  <c r="M20" i="1" s="1"/>
  <c r="L17" i="1"/>
  <c r="M17" i="1" s="1"/>
  <c r="L16" i="1"/>
  <c r="L14" i="1"/>
  <c r="L12" i="1"/>
  <c r="C21" i="1"/>
  <c r="C20" i="1"/>
  <c r="C19" i="1"/>
  <c r="C18" i="1"/>
  <c r="C17" i="1"/>
  <c r="L18" i="1"/>
  <c r="M18" i="1" s="1"/>
  <c r="C16" i="1"/>
  <c r="C14" i="1"/>
  <c r="L10" i="1"/>
  <c r="M10" i="1" s="1"/>
  <c r="L3" i="1"/>
  <c r="L4" i="1"/>
  <c r="L5" i="1"/>
  <c r="L6" i="1"/>
  <c r="M6" i="1" s="1"/>
  <c r="L7" i="1"/>
  <c r="M7" i="1" s="1"/>
  <c r="L8" i="1"/>
  <c r="M8" i="1" s="1"/>
  <c r="L9" i="1"/>
  <c r="M9" i="1" s="1"/>
  <c r="G5" i="1"/>
  <c r="C12" i="1"/>
  <c r="C11" i="1"/>
  <c r="C10" i="1"/>
  <c r="C9" i="1"/>
  <c r="C8" i="1"/>
  <c r="C7" i="1"/>
  <c r="C6" i="1"/>
  <c r="C3" i="1"/>
  <c r="B4" i="1"/>
  <c r="C4" i="1"/>
  <c r="C2" i="1"/>
</calcChain>
</file>

<file path=xl/sharedStrings.xml><?xml version="1.0" encoding="utf-8"?>
<sst xmlns="http://schemas.openxmlformats.org/spreadsheetml/2006/main" count="66" uniqueCount="16">
  <si>
    <t>Combinatiosn from grid</t>
  </si>
  <si>
    <t>Nº simulations</t>
  </si>
  <si>
    <t>Cores</t>
  </si>
  <si>
    <t>Proteins</t>
  </si>
  <si>
    <t>All</t>
  </si>
  <si>
    <t>Memory Efficiency (%)</t>
  </si>
  <si>
    <t>Memory Utilized</t>
  </si>
  <si>
    <t>GB</t>
  </si>
  <si>
    <t>MB</t>
  </si>
  <si>
    <t xml:space="preserve">Units </t>
  </si>
  <si>
    <t>Units</t>
  </si>
  <si>
    <t>Threads</t>
  </si>
  <si>
    <t>Nodes</t>
  </si>
  <si>
    <t>Total Memory</t>
  </si>
  <si>
    <t>Time (s)</t>
  </si>
  <si>
    <t>Time (min)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</si>
</sst>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20769-FE5F-480F-A628-B613EF527604}">
  <dimension ref="A1:M21"/>
  <sheetViews>
    <sheetView tabSelected="1" zoomScale="90" zoomScaleNormal="90" workbookViewId="0">
      <selection activeCell="G12" sqref="G12"/>
    </sheetView>
  </sheetViews>
  <sheetFormatPr baseColWidth="10" defaultRowHeight="15" x14ac:dyDescent="0.25"/>
  <cols>
    <col min="2" max="2" width="21.140625" customWidth="1"/>
    <col min="3" max="3" width="12.85546875" bestFit="1" customWidth="1"/>
    <col min="5" max="6" width="7.7109375" customWidth="1"/>
    <col min="7" max="7" width="12.28515625" customWidth="1"/>
    <col min="8" max="8" width="5.42578125" customWidth="1"/>
    <col min="9" max="9" width="19.42578125" bestFit="1" customWidth="1"/>
    <col min="10" max="10" width="13.85546875" customWidth="1"/>
    <col min="11" max="11" width="6.85546875" customWidth="1"/>
  </cols>
  <sheetData>
    <row r="1" spans="1:13" x14ac:dyDescent="0.25">
      <c r="A1" t="s">
        <v>3</v>
      </c>
      <c r="B1" t="s">
        <v>0</v>
      </c>
      <c r="C1" t="s">
        <v>1</v>
      </c>
      <c r="D1" t="s">
        <v>2</v>
      </c>
      <c r="E1" t="s">
        <v>11</v>
      </c>
      <c r="F1" t="s">
        <v>12</v>
      </c>
      <c r="G1" t="s">
        <v>13</v>
      </c>
      <c r="H1" t="s">
        <v>9</v>
      </c>
      <c r="I1" t="s">
        <v>5</v>
      </c>
      <c r="J1" t="s">
        <v>6</v>
      </c>
      <c r="K1" t="s">
        <v>10</v>
      </c>
      <c r="L1" t="s">
        <v>14</v>
      </c>
      <c r="M1" t="s">
        <v>15</v>
      </c>
    </row>
    <row r="2" spans="1:13" x14ac:dyDescent="0.25">
      <c r="A2">
        <v>100</v>
      </c>
      <c r="B2">
        <v>360</v>
      </c>
      <c r="C2">
        <f>B2*9</f>
        <v>3240</v>
      </c>
      <c r="D2">
        <v>2</v>
      </c>
      <c r="E2">
        <v>1</v>
      </c>
      <c r="F2">
        <v>1</v>
      </c>
      <c r="G2">
        <v>2</v>
      </c>
      <c r="H2" t="s">
        <v>7</v>
      </c>
      <c r="L2">
        <v>46</v>
      </c>
      <c r="M2">
        <f>L2/60</f>
        <v>0.76666666666666672</v>
      </c>
    </row>
    <row r="3" spans="1:13" x14ac:dyDescent="0.25">
      <c r="A3">
        <v>1000</v>
      </c>
      <c r="B3">
        <v>359</v>
      </c>
      <c r="C3">
        <f>B3*9</f>
        <v>3231</v>
      </c>
      <c r="D3">
        <v>1</v>
      </c>
      <c r="E3">
        <v>1</v>
      </c>
      <c r="F3">
        <v>1</v>
      </c>
      <c r="G3">
        <v>1</v>
      </c>
      <c r="H3" t="s">
        <v>7</v>
      </c>
      <c r="I3">
        <v>18.82</v>
      </c>
      <c r="J3">
        <v>192.67</v>
      </c>
      <c r="K3" t="s">
        <v>8</v>
      </c>
      <c r="L3">
        <f>4*60+5</f>
        <v>245</v>
      </c>
      <c r="M3">
        <f t="shared" ref="M3:M21" si="0">L3/60</f>
        <v>4.083333333333333</v>
      </c>
    </row>
    <row r="4" spans="1:13" x14ac:dyDescent="0.25">
      <c r="A4">
        <v>5000</v>
      </c>
      <c r="B4">
        <f>360</f>
        <v>360</v>
      </c>
      <c r="C4">
        <f>B4*9</f>
        <v>3240</v>
      </c>
      <c r="D4">
        <v>1</v>
      </c>
      <c r="E4">
        <v>1</v>
      </c>
      <c r="F4">
        <v>1</v>
      </c>
      <c r="G4">
        <v>1</v>
      </c>
      <c r="H4" t="s">
        <v>7</v>
      </c>
      <c r="L4">
        <f>17*60+17</f>
        <v>1037</v>
      </c>
      <c r="M4">
        <f t="shared" si="0"/>
        <v>17.283333333333335</v>
      </c>
    </row>
    <row r="5" spans="1:13" x14ac:dyDescent="0.25">
      <c r="A5">
        <v>5000</v>
      </c>
      <c r="B5">
        <v>360</v>
      </c>
      <c r="C5">
        <v>3240</v>
      </c>
      <c r="D5">
        <v>8</v>
      </c>
      <c r="E5">
        <v>1</v>
      </c>
      <c r="F5">
        <v>1</v>
      </c>
      <c r="G5">
        <f>4</f>
        <v>4</v>
      </c>
      <c r="H5" t="s">
        <v>7</v>
      </c>
      <c r="I5">
        <v>44.51</v>
      </c>
      <c r="J5">
        <v>1.78</v>
      </c>
      <c r="K5" t="s">
        <v>7</v>
      </c>
      <c r="L5">
        <f>7*60+7</f>
        <v>427</v>
      </c>
      <c r="M5">
        <f t="shared" si="0"/>
        <v>7.1166666666666663</v>
      </c>
    </row>
    <row r="6" spans="1:13" x14ac:dyDescent="0.25">
      <c r="A6">
        <v>10000</v>
      </c>
      <c r="B6">
        <v>360</v>
      </c>
      <c r="C6">
        <f t="shared" ref="C6:C12" si="1">B6*9</f>
        <v>3240</v>
      </c>
      <c r="D6">
        <v>1</v>
      </c>
      <c r="E6">
        <v>1</v>
      </c>
      <c r="F6">
        <v>1</v>
      </c>
      <c r="G6">
        <v>1</v>
      </c>
      <c r="H6" t="s">
        <v>7</v>
      </c>
      <c r="I6">
        <v>56.2</v>
      </c>
      <c r="J6">
        <v>575.47</v>
      </c>
      <c r="K6" t="s">
        <v>8</v>
      </c>
      <c r="L6">
        <f>33*60+20</f>
        <v>2000</v>
      </c>
      <c r="M6">
        <f t="shared" si="0"/>
        <v>33.333333333333336</v>
      </c>
    </row>
    <row r="7" spans="1:13" x14ac:dyDescent="0.25">
      <c r="A7" t="s">
        <v>4</v>
      </c>
      <c r="B7">
        <v>1440</v>
      </c>
      <c r="C7">
        <f t="shared" si="1"/>
        <v>12960</v>
      </c>
      <c r="D7">
        <v>1</v>
      </c>
      <c r="E7">
        <v>1</v>
      </c>
      <c r="F7">
        <v>1</v>
      </c>
      <c r="G7">
        <v>700</v>
      </c>
      <c r="H7" t="s">
        <v>8</v>
      </c>
      <c r="I7">
        <v>83.43</v>
      </c>
      <c r="J7">
        <v>584.33000000000004</v>
      </c>
      <c r="K7" t="s">
        <v>8</v>
      </c>
      <c r="L7">
        <f>56*60+43</f>
        <v>3403</v>
      </c>
      <c r="M7">
        <f t="shared" si="0"/>
        <v>56.716666666666669</v>
      </c>
    </row>
    <row r="8" spans="1:13" x14ac:dyDescent="0.25">
      <c r="A8" t="s">
        <v>4</v>
      </c>
      <c r="B8">
        <v>1440</v>
      </c>
      <c r="C8">
        <f t="shared" si="1"/>
        <v>12960</v>
      </c>
      <c r="D8">
        <v>2</v>
      </c>
      <c r="E8">
        <v>1</v>
      </c>
      <c r="F8">
        <v>1</v>
      </c>
      <c r="G8">
        <v>1.37</v>
      </c>
      <c r="H8" t="s">
        <v>7</v>
      </c>
      <c r="I8">
        <v>59.02</v>
      </c>
      <c r="J8">
        <v>826.26</v>
      </c>
      <c r="K8" t="s">
        <v>8</v>
      </c>
      <c r="L8">
        <f>51*60+32</f>
        <v>3092</v>
      </c>
      <c r="M8">
        <f t="shared" si="0"/>
        <v>51.533333333333331</v>
      </c>
    </row>
    <row r="9" spans="1:13" x14ac:dyDescent="0.25">
      <c r="A9" t="s">
        <v>4</v>
      </c>
      <c r="B9">
        <v>1440</v>
      </c>
      <c r="C9">
        <f t="shared" si="1"/>
        <v>12960</v>
      </c>
      <c r="D9">
        <v>4</v>
      </c>
      <c r="E9">
        <v>1</v>
      </c>
      <c r="F9">
        <v>1</v>
      </c>
      <c r="G9">
        <v>2.34</v>
      </c>
      <c r="H9" t="s">
        <v>7</v>
      </c>
      <c r="I9">
        <v>55.35</v>
      </c>
      <c r="J9">
        <v>1.3</v>
      </c>
      <c r="K9" t="s">
        <v>7</v>
      </c>
      <c r="L9">
        <f>38*60+15</f>
        <v>2295</v>
      </c>
      <c r="M9">
        <f t="shared" si="0"/>
        <v>38.25</v>
      </c>
    </row>
    <row r="10" spans="1:13" x14ac:dyDescent="0.25">
      <c r="A10" t="s">
        <v>4</v>
      </c>
      <c r="B10">
        <v>1440</v>
      </c>
      <c r="C10">
        <f t="shared" si="1"/>
        <v>12960</v>
      </c>
      <c r="D10">
        <v>8</v>
      </c>
      <c r="E10">
        <v>1</v>
      </c>
      <c r="F10">
        <v>1</v>
      </c>
      <c r="G10">
        <v>3.91</v>
      </c>
      <c r="H10" t="s">
        <v>7</v>
      </c>
      <c r="I10">
        <v>51.32</v>
      </c>
      <c r="J10">
        <v>2</v>
      </c>
      <c r="K10" t="s">
        <v>7</v>
      </c>
      <c r="L10">
        <f>32*60+33</f>
        <v>1953</v>
      </c>
      <c r="M10">
        <f t="shared" si="0"/>
        <v>32.549999999999997</v>
      </c>
    </row>
    <row r="11" spans="1:13" x14ac:dyDescent="0.25">
      <c r="A11" t="s">
        <v>4</v>
      </c>
      <c r="B11">
        <v>1440</v>
      </c>
      <c r="C11">
        <f t="shared" si="1"/>
        <v>12960</v>
      </c>
      <c r="D11">
        <v>16</v>
      </c>
      <c r="E11">
        <v>1</v>
      </c>
      <c r="F11">
        <v>1</v>
      </c>
      <c r="G11">
        <v>3.91</v>
      </c>
      <c r="H11" t="s">
        <v>7</v>
      </c>
      <c r="I11">
        <v>90.08</v>
      </c>
      <c r="J11">
        <v>3.52</v>
      </c>
      <c r="K11" t="s">
        <v>7</v>
      </c>
      <c r="L11">
        <f>25*60+56</f>
        <v>1556</v>
      </c>
      <c r="M11">
        <f t="shared" si="0"/>
        <v>25.933333333333334</v>
      </c>
    </row>
    <row r="12" spans="1:13" x14ac:dyDescent="0.25">
      <c r="A12" t="s">
        <v>4</v>
      </c>
      <c r="B12">
        <v>1440</v>
      </c>
      <c r="C12">
        <f t="shared" si="1"/>
        <v>12960</v>
      </c>
      <c r="D12">
        <v>24</v>
      </c>
      <c r="E12">
        <v>1</v>
      </c>
      <c r="F12">
        <v>1</v>
      </c>
      <c r="G12">
        <v>7.03</v>
      </c>
      <c r="H12" t="s">
        <v>7</v>
      </c>
      <c r="I12">
        <v>73.02</v>
      </c>
      <c r="J12">
        <v>5.13</v>
      </c>
      <c r="K12" t="s">
        <v>7</v>
      </c>
      <c r="L12">
        <f>19*60+42</f>
        <v>1182</v>
      </c>
      <c r="M12">
        <f t="shared" si="0"/>
        <v>19.7</v>
      </c>
    </row>
    <row r="13" spans="1:13" x14ac:dyDescent="0.25">
      <c r="A13" t="s">
        <v>4</v>
      </c>
      <c r="B13">
        <v>1440</v>
      </c>
      <c r="C13">
        <f t="shared" ref="C13" si="2">B13*9</f>
        <v>12960</v>
      </c>
      <c r="D13">
        <v>32</v>
      </c>
      <c r="E13">
        <v>1</v>
      </c>
      <c r="F13">
        <v>1</v>
      </c>
      <c r="G13">
        <v>7.81</v>
      </c>
      <c r="H13" t="s">
        <v>7</v>
      </c>
      <c r="I13">
        <v>84.46</v>
      </c>
      <c r="J13">
        <v>6.6</v>
      </c>
      <c r="K13" t="s">
        <v>7</v>
      </c>
      <c r="L13">
        <f>13*60+24</f>
        <v>804</v>
      </c>
      <c r="M13">
        <f>L13/60</f>
        <v>13.4</v>
      </c>
    </row>
    <row r="14" spans="1:13" x14ac:dyDescent="0.25">
      <c r="A14" t="s">
        <v>4</v>
      </c>
      <c r="B14">
        <v>1440</v>
      </c>
      <c r="C14">
        <f t="shared" ref="C14:C16" si="3">B14*9</f>
        <v>12960</v>
      </c>
      <c r="D14">
        <v>12</v>
      </c>
      <c r="E14">
        <v>2</v>
      </c>
      <c r="F14">
        <v>2</v>
      </c>
      <c r="G14">
        <v>7.03</v>
      </c>
      <c r="H14" t="s">
        <v>7</v>
      </c>
      <c r="I14">
        <v>38.299999999999997</v>
      </c>
      <c r="J14">
        <v>2.69</v>
      </c>
      <c r="K14" t="s">
        <v>7</v>
      </c>
      <c r="L14">
        <f>27*60+30</f>
        <v>1650</v>
      </c>
      <c r="M14">
        <f t="shared" si="0"/>
        <v>27.5</v>
      </c>
    </row>
    <row r="15" spans="1:13" x14ac:dyDescent="0.25">
      <c r="A15" t="s">
        <v>4</v>
      </c>
      <c r="B15">
        <v>1440</v>
      </c>
      <c r="C15">
        <f t="shared" ref="C15" si="4">B15*9</f>
        <v>12960</v>
      </c>
      <c r="D15">
        <v>16</v>
      </c>
      <c r="E15">
        <v>2</v>
      </c>
      <c r="F15">
        <v>2</v>
      </c>
      <c r="G15">
        <v>7.81</v>
      </c>
      <c r="H15" t="s">
        <v>7</v>
      </c>
      <c r="I15">
        <v>45.24</v>
      </c>
      <c r="J15">
        <v>3.53</v>
      </c>
      <c r="K15" t="s">
        <v>7</v>
      </c>
      <c r="L15">
        <f>25*60+43</f>
        <v>1543</v>
      </c>
      <c r="M15">
        <f>L15/60</f>
        <v>25.716666666666665</v>
      </c>
    </row>
    <row r="16" spans="1:13" x14ac:dyDescent="0.25">
      <c r="A16" t="s">
        <v>4</v>
      </c>
      <c r="B16">
        <v>1440</v>
      </c>
      <c r="C16">
        <f t="shared" si="3"/>
        <v>12960</v>
      </c>
      <c r="D16">
        <v>2</v>
      </c>
      <c r="E16">
        <v>8</v>
      </c>
      <c r="F16">
        <v>1</v>
      </c>
      <c r="G16">
        <v>4.6900000000000004</v>
      </c>
      <c r="H16" t="s">
        <v>7</v>
      </c>
      <c r="I16">
        <v>17.190000000000001</v>
      </c>
      <c r="J16">
        <v>825.22</v>
      </c>
      <c r="K16" t="s">
        <v>8</v>
      </c>
      <c r="L16">
        <f>52*60+6</f>
        <v>3126</v>
      </c>
      <c r="M16">
        <f t="shared" si="0"/>
        <v>52.1</v>
      </c>
    </row>
    <row r="17" spans="1:13" x14ac:dyDescent="0.25">
      <c r="A17" t="s">
        <v>4</v>
      </c>
      <c r="B17">
        <v>1440</v>
      </c>
      <c r="C17">
        <f>B17*9</f>
        <v>12960</v>
      </c>
      <c r="D17">
        <v>4</v>
      </c>
      <c r="E17">
        <v>4</v>
      </c>
      <c r="F17">
        <v>1</v>
      </c>
      <c r="G17">
        <v>3.34</v>
      </c>
      <c r="H17" t="s">
        <v>7</v>
      </c>
      <c r="I17">
        <v>56.94</v>
      </c>
      <c r="J17">
        <v>1.33</v>
      </c>
      <c r="K17" t="s">
        <v>7</v>
      </c>
      <c r="L17">
        <f>33*60+43</f>
        <v>2023</v>
      </c>
      <c r="M17">
        <f t="shared" si="0"/>
        <v>33.716666666666669</v>
      </c>
    </row>
    <row r="18" spans="1:13" x14ac:dyDescent="0.25">
      <c r="A18" t="s">
        <v>4</v>
      </c>
      <c r="B18">
        <v>1440</v>
      </c>
      <c r="C18">
        <f t="shared" ref="C18:C19" si="5">B18*9</f>
        <v>12960</v>
      </c>
      <c r="D18">
        <v>8</v>
      </c>
      <c r="E18">
        <v>2</v>
      </c>
      <c r="F18">
        <v>1</v>
      </c>
      <c r="G18">
        <v>4.6900000000000004</v>
      </c>
      <c r="H18" t="s">
        <v>7</v>
      </c>
      <c r="I18">
        <v>42.28</v>
      </c>
      <c r="J18">
        <v>1.98</v>
      </c>
      <c r="K18" t="s">
        <v>7</v>
      </c>
      <c r="L18">
        <f>27*60+26</f>
        <v>1646</v>
      </c>
      <c r="M18">
        <f t="shared" si="0"/>
        <v>27.433333333333334</v>
      </c>
    </row>
    <row r="19" spans="1:13" x14ac:dyDescent="0.25">
      <c r="A19" t="s">
        <v>4</v>
      </c>
      <c r="B19">
        <v>1440</v>
      </c>
      <c r="C19">
        <f t="shared" si="5"/>
        <v>12960</v>
      </c>
      <c r="D19">
        <v>2</v>
      </c>
      <c r="E19">
        <v>12</v>
      </c>
      <c r="F19">
        <v>1</v>
      </c>
      <c r="G19">
        <v>2.34</v>
      </c>
      <c r="H19" t="s">
        <v>7</v>
      </c>
      <c r="I19">
        <v>34.14</v>
      </c>
      <c r="J19">
        <v>819.43</v>
      </c>
      <c r="K19" t="s">
        <v>8</v>
      </c>
      <c r="L19">
        <f>50*60+52</f>
        <v>3052</v>
      </c>
      <c r="M19">
        <f t="shared" si="0"/>
        <v>50.866666666666667</v>
      </c>
    </row>
    <row r="20" spans="1:13" x14ac:dyDescent="0.25">
      <c r="A20" t="s">
        <v>4</v>
      </c>
      <c r="B20">
        <v>1440</v>
      </c>
      <c r="C20">
        <f>B20*9</f>
        <v>12960</v>
      </c>
      <c r="D20">
        <v>4</v>
      </c>
      <c r="E20">
        <v>6</v>
      </c>
      <c r="F20">
        <v>1</v>
      </c>
      <c r="G20">
        <v>2.34</v>
      </c>
      <c r="H20" t="s">
        <v>7</v>
      </c>
      <c r="I20">
        <v>56.3</v>
      </c>
      <c r="J20">
        <v>1.32</v>
      </c>
      <c r="K20" t="s">
        <v>7</v>
      </c>
      <c r="L20">
        <f>33*60+49</f>
        <v>2029</v>
      </c>
      <c r="M20">
        <f t="shared" si="0"/>
        <v>33.81666666666667</v>
      </c>
    </row>
    <row r="21" spans="1:13" x14ac:dyDescent="0.25">
      <c r="A21" t="s">
        <v>4</v>
      </c>
      <c r="B21">
        <v>1440</v>
      </c>
      <c r="C21">
        <f t="shared" ref="C21" si="6">B21*9</f>
        <v>12960</v>
      </c>
      <c r="D21">
        <v>8</v>
      </c>
      <c r="E21">
        <v>3</v>
      </c>
      <c r="F21">
        <v>1</v>
      </c>
      <c r="G21">
        <v>2.34</v>
      </c>
      <c r="H21" t="s">
        <v>7</v>
      </c>
      <c r="I21">
        <v>85.29</v>
      </c>
      <c r="J21">
        <v>2</v>
      </c>
      <c r="K21" t="s">
        <v>7</v>
      </c>
      <c r="L21">
        <f>27*60+18</f>
        <v>1638</v>
      </c>
      <c r="M21">
        <f t="shared" si="0"/>
        <v>27.3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Pruebas_Item2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Biostatech</dc:creator>
  <cp:lastModifiedBy>Biostatech</cp:lastModifiedBy>
  <dcterms:created xsi:type="dcterms:W3CDTF">2026-01-26T07:23:01Z</dcterms:created>
  <dcterms:modified xsi:type="dcterms:W3CDTF">2026-01-28T12:37:56Z</dcterms:modified>
</cp:coreProperties>
</file>