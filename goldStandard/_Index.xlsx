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goldStandard\"/>
    </mc:Choice>
  </mc:AlternateContent>
  <xr:revisionPtr revIDLastSave="0" documentId="13_ncr:1_{FB3DFF11-BAED-4F69-BE87-8051C588F506}" xr6:coauthVersionLast="47" xr6:coauthVersionMax="47" xr10:uidLastSave="{00000000-0000-0000-0000-000000000000}"/>
  <bookViews>
    <workbookView xWindow="-22046" yWindow="-103" windowWidth="22149" windowHeight="13200" xr2:uid="{F827C457-048B-4104-BF2A-59E43A6422D6}"/>
  </bookViews>
  <sheets>
    <sheet name="In" sheetId="1" r:id="rId1"/>
    <sheet name="Ou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14" i="1"/>
  <c r="K12" i="1" l="1"/>
  <c r="K9" i="1"/>
  <c r="K8" i="1"/>
  <c r="K7" i="1"/>
  <c r="K5" i="1"/>
  <c r="K2" i="1"/>
  <c r="K4" i="1"/>
</calcChain>
</file>

<file path=xl/sharedStrings.xml><?xml version="1.0" encoding="utf-8"?>
<sst xmlns="http://schemas.openxmlformats.org/spreadsheetml/2006/main" count="197" uniqueCount="107">
  <si>
    <t>ID</t>
  </si>
  <si>
    <t>Repository</t>
  </si>
  <si>
    <t>MS instrument</t>
  </si>
  <si>
    <t>Analysis Software</t>
  </si>
  <si>
    <t>Specie</t>
  </si>
  <si>
    <t>N groups</t>
  </si>
  <si>
    <t>Sample size</t>
  </si>
  <si>
    <t>PXD025933</t>
  </si>
  <si>
    <t>PRIDE</t>
  </si>
  <si>
    <t>MaxQuant</t>
  </si>
  <si>
    <t>Tissue</t>
  </si>
  <si>
    <t>Homo sapiens</t>
  </si>
  <si>
    <t>Q Exactive Plus</t>
  </si>
  <si>
    <t>Publication (DOI)</t>
  </si>
  <si>
    <t>DOI: 10.1016/j.stemcr.2022.04.003 </t>
  </si>
  <si>
    <t>Neural retina; Pluripotencial stem cells Brain</t>
  </si>
  <si>
    <t>DOI: 10.1128/JVI.00790-24</t>
  </si>
  <si>
    <t>PXD055210</t>
  </si>
  <si>
    <t>Mus musculus</t>
  </si>
  <si>
    <t>embrionic fibroblast</t>
  </si>
  <si>
    <t>Q Exactive HF-X</t>
  </si>
  <si>
    <t>Comments</t>
  </si>
  <si>
    <t>2 conditions assessed: pulse and pulseChase</t>
  </si>
  <si>
    <t>PXD058699</t>
  </si>
  <si>
    <t>Jurkat cell; T cell</t>
  </si>
  <si>
    <t>Group names</t>
  </si>
  <si>
    <t>(gap);L;M;H</t>
  </si>
  <si>
    <t>Edu;DMSO</t>
  </si>
  <si>
    <t>More docs</t>
  </si>
  <si>
    <t>DOI: 10.1016/J.CCELL.2025.02.008</t>
  </si>
  <si>
    <t xml:space="preserve">XLSX: Supplementary table </t>
  </si>
  <si>
    <t>Orbitrap Fusion Lumos</t>
  </si>
  <si>
    <t>PXD031710</t>
  </si>
  <si>
    <t>Orbitrap Fusion</t>
  </si>
  <si>
    <t>1;2;3;4;5;6</t>
  </si>
  <si>
    <t>XLSX: Supplementary table (sheet sf6g)</t>
  </si>
  <si>
    <t>DOI: 10.1038/s41467-022-29486-z</t>
  </si>
  <si>
    <t>PXD066495</t>
  </si>
  <si>
    <t>Orbitrap Ascend</t>
  </si>
  <si>
    <t>Cell culture</t>
  </si>
  <si>
    <t>SCR;sgALAS1</t>
  </si>
  <si>
    <t>DOI: 10.1016/J.CELL.2025.10.028</t>
  </si>
  <si>
    <t>XLSX: supplementary sample legend</t>
  </si>
  <si>
    <t>Number</t>
  </si>
  <si>
    <t>PXD065898</t>
  </si>
  <si>
    <t>Orbitrap Exploris 480</t>
  </si>
  <si>
    <t>Nutlin;DMSO</t>
  </si>
  <si>
    <t>Pending</t>
  </si>
  <si>
    <t>XLSX: sample information</t>
  </si>
  <si>
    <t>PXD064630</t>
  </si>
  <si>
    <t>Q Exactive HF</t>
  </si>
  <si>
    <t>Bone marrow; macrophage</t>
  </si>
  <si>
    <t>wt;ko</t>
  </si>
  <si>
    <t>DOI: 10.1016/j.jbc.2025.110916</t>
  </si>
  <si>
    <t>TXT: sample legend</t>
  </si>
  <si>
    <t>PXD043324</t>
  </si>
  <si>
    <t>FragPipe </t>
  </si>
  <si>
    <t>Serum</t>
  </si>
  <si>
    <t>CTR;CZS-;CZS+</t>
  </si>
  <si>
    <t>DOI: 10.1021/ACS.JPROTEOME.3C00677</t>
  </si>
  <si>
    <t>spectral count todo?</t>
  </si>
  <si>
    <t>PXD058626</t>
  </si>
  <si>
    <t>timsTOF SCP</t>
  </si>
  <si>
    <t>Lung tissue</t>
  </si>
  <si>
    <t>Control;IPF</t>
  </si>
  <si>
    <t>DOI: 10.1172/JCI.INSIGHT.189636</t>
  </si>
  <si>
    <t>2 subtissues assessed: airway and alveoli</t>
  </si>
  <si>
    <t>PXD029547</t>
  </si>
  <si>
    <t>Blood plasma</t>
  </si>
  <si>
    <t>timsTOF Pro</t>
  </si>
  <si>
    <t>acute;recovery</t>
  </si>
  <si>
    <t>DOI: 10.1371/journal.ppat.1010176</t>
  </si>
  <si>
    <t>CSV: codex and zip with all results from fragpipe</t>
  </si>
  <si>
    <t>LTQ Orbitrap Elite</t>
  </si>
  <si>
    <t>PXD038236</t>
  </si>
  <si>
    <t>Vascular smooth muscle cells</t>
  </si>
  <si>
    <t>WT;KO</t>
  </si>
  <si>
    <t>DOI: 10.1172/jci.insight.164751</t>
  </si>
  <si>
    <t>PXD062018</t>
  </si>
  <si>
    <t>Brain</t>
  </si>
  <si>
    <t>2 different times assessed: 3h, 6h</t>
  </si>
  <si>
    <t>DOI: 10.1038/S41467-025-64360-8</t>
  </si>
  <si>
    <t>DOI: 10.3389/fmed.2022.873483</t>
  </si>
  <si>
    <t>From meta-analysis</t>
  </si>
  <si>
    <t>PXD033101</t>
  </si>
  <si>
    <t>Tear</t>
  </si>
  <si>
    <t>CTRL;T2D;NPDR;PDR</t>
  </si>
  <si>
    <t>PXD022561</t>
  </si>
  <si>
    <t>Pancreas</t>
  </si>
  <si>
    <t>ND;T2D</t>
  </si>
  <si>
    <t>PXD064699</t>
  </si>
  <si>
    <t>Proteome Discoverer</t>
  </si>
  <si>
    <t>Cerebrospinal fluid</t>
  </si>
  <si>
    <t>CN;preAD;AD;oDS;asymDS;proDS;demDS</t>
  </si>
  <si>
    <t>CSV: groups and samplesto select (last column)</t>
  </si>
  <si>
    <t>TMT!!!En experimental design, na última columna seleccionando VERDADERO están as 365 mostras usadas no estudio. Son as que hai que seleccionar na matriz. O grupo está na columna group (tabla 1 do paper).</t>
  </si>
  <si>
    <t>Labelling</t>
  </si>
  <si>
    <t>TMT</t>
  </si>
  <si>
    <t>DOI: 10.1038/s41467-025-61054-z</t>
  </si>
  <si>
    <t>Acquisition</t>
  </si>
  <si>
    <t>DDA</t>
  </si>
  <si>
    <t>DIA</t>
  </si>
  <si>
    <t>DOI: 10.1038/s42255-021-00420-9</t>
  </si>
  <si>
    <t xml:space="preserve">Phosphoproteomics e marcaxe SILAC. Non sei si está correcto. Ademais, a primera columna Intensity noutros datasets é como unha columna "Global" de intensidade, pode que aquí tamén </t>
  </si>
  <si>
    <t>Considerei 4 grupo non 2, porque miden os mismos grupos en 2 momentos ou 2 tecidos</t>
  </si>
  <si>
    <t>Considerei solo 2 grupos porque había moito valor faltante nos outros</t>
  </si>
  <si>
    <t>From meta-analysis 944 (searching there corresponce between group - samples)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</si>
</sst>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5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1" applyFont="1"/>
    <xf numFmtId="0" fontId="5" fillId="0" borderId="0" xfId="0" applyFont="1"/>
  </cellXfs>
  <cellStyles count="7">
    <cellStyle name="Hipervínculo" xfId="1" builtinId="8"/>
    <cellStyle name="Normal" xfId="0" builtinId="0"/>
    <cellStyle name="Normal 2" xfId="2" xr:uid="{7D5E192D-072E-4AFA-A1B1-933EC1E53B37}"/>
    <cellStyle name="Normal 2 2" xfId="4" xr:uid="{E8ED6F68-3A09-4796-84B8-11E550D8CE3B}"/>
    <cellStyle name="Normal 2 2 2" xfId="5" xr:uid="{40E1C6ED-6FCF-495A-A1D4-B4A2426C01C2}"/>
    <cellStyle name="Normal 3" xfId="3" xr:uid="{71C27159-B92E-4AF4-A5CD-DFF302959370}"/>
    <cellStyle name="Normal 3 2" xfId="6" xr:uid="{21401580-35CA-4661-BFE1-65EB6A93EAAE}"/>
  </cellStyles>
  <dxfs count="0"/>
  <tableStyles count="0" defaultTableStyle="TableStyleMedium2" defaultPivotStyle="PivotStyleLight16"/>
  <colors>
    <mruColors>
      <color rgb="FF6C8092"/>
      <color rgb="FF0361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nsight.jci.org/articles/view/189636" TargetMode="External"/><Relationship Id="rId13" Type="http://schemas.openxmlformats.org/officeDocument/2006/relationships/hyperlink" Target="https://doi.org/10.1038/s42255-021-00420-9" TargetMode="External"/><Relationship Id="rId3" Type="http://schemas.openxmlformats.org/officeDocument/2006/relationships/hyperlink" Target="https://www.cell.com/cancer-cell/fulltext/S1535-6108(25)00060-1?_returnURL=https%3A%2F%2Flinkinghub.elsevier.com%2Fretrieve%2Fpii%2FS1535610825000601%3Fshowall%3Dtrue" TargetMode="External"/><Relationship Id="rId7" Type="http://schemas.openxmlformats.org/officeDocument/2006/relationships/hyperlink" Target="https://pubs.acs.org/doi/10.1021/acs.jproteome.3c00677" TargetMode="External"/><Relationship Id="rId12" Type="http://schemas.openxmlformats.org/officeDocument/2006/relationships/hyperlink" Target="https://www.frontiersin.org/journals/medicine/articles/10.3389/fmed.2022.873483/full" TargetMode="External"/><Relationship Id="rId2" Type="http://schemas.openxmlformats.org/officeDocument/2006/relationships/hyperlink" Target="https://journals.asm.org/doi/10.1128/jvi.00790-24" TargetMode="External"/><Relationship Id="rId1" Type="http://schemas.openxmlformats.org/officeDocument/2006/relationships/hyperlink" Target="https://doi.org/10.1016/j.stemcr.2022.04.003" TargetMode="External"/><Relationship Id="rId6" Type="http://schemas.openxmlformats.org/officeDocument/2006/relationships/hyperlink" Target="https://www.jbc.org/article/S0021-9258(25)02768-1/fulltext" TargetMode="External"/><Relationship Id="rId11" Type="http://schemas.openxmlformats.org/officeDocument/2006/relationships/hyperlink" Target="https://www.nature.com/articles/s41467-025-64360-8" TargetMode="External"/><Relationship Id="rId5" Type="http://schemas.openxmlformats.org/officeDocument/2006/relationships/hyperlink" Target="https://www.cell.com/cell/fulltext/S0092-8674(25)01233-4?_returnURL=https%3A%2F%2Flinkinghub.elsevier.com%2Fretrieve%2Fpii%2FS0092867425012334%3Fshowall%3Dtrue" TargetMode="External"/><Relationship Id="rId10" Type="http://schemas.openxmlformats.org/officeDocument/2006/relationships/hyperlink" Target="https://insight.jci.org/articles/view/164751" TargetMode="External"/><Relationship Id="rId4" Type="http://schemas.openxmlformats.org/officeDocument/2006/relationships/hyperlink" Target="https://www.nature.com/articles/s41467-022-29486-z" TargetMode="External"/><Relationship Id="rId9" Type="http://schemas.openxmlformats.org/officeDocument/2006/relationships/hyperlink" Target="https://journals.plos.org/plospathogens/article?id=10.1371/journal.ppat.1010176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ature.com/articles/s41467-025-61054-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4AC8-88B5-4543-8C52-FD30450BEA57}">
  <dimension ref="A1:N51"/>
  <sheetViews>
    <sheetView tabSelected="1" workbookViewId="0">
      <selection activeCell="H20" sqref="H20"/>
    </sheetView>
  </sheetViews>
  <sheetFormatPr baseColWidth="10" defaultRowHeight="15" x14ac:dyDescent="0.25"/>
  <cols>
    <col min="5" max="5" width="22.85546875" customWidth="1"/>
    <col min="6" max="6" width="15.28515625" bestFit="1" customWidth="1"/>
    <col min="7" max="7" width="17.7109375" customWidth="1"/>
    <col min="8" max="8" width="37.5703125" bestFit="1" customWidth="1"/>
    <col min="10" max="10" width="14.28515625" customWidth="1"/>
    <col min="12" max="12" width="38.28515625" customWidth="1"/>
    <col min="13" max="13" width="40.7109375" customWidth="1"/>
    <col min="14" max="14" width="38.42578125" bestFit="1" customWidth="1"/>
  </cols>
  <sheetData>
    <row r="1" spans="1:14" s="2" customFormat="1" ht="15.75" x14ac:dyDescent="0.25">
      <c r="A1" s="2" t="s">
        <v>43</v>
      </c>
      <c r="B1" s="2" t="s">
        <v>0</v>
      </c>
      <c r="C1" s="2" t="s">
        <v>1</v>
      </c>
      <c r="D1" s="2" t="s">
        <v>99</v>
      </c>
      <c r="E1" s="2" t="s">
        <v>2</v>
      </c>
      <c r="F1" s="2" t="s">
        <v>3</v>
      </c>
      <c r="G1" s="2" t="s">
        <v>4</v>
      </c>
      <c r="H1" s="2" t="s">
        <v>10</v>
      </c>
      <c r="I1" s="2" t="s">
        <v>5</v>
      </c>
      <c r="J1" s="2" t="s">
        <v>25</v>
      </c>
      <c r="K1" s="2" t="s">
        <v>6</v>
      </c>
      <c r="L1" s="2" t="s">
        <v>13</v>
      </c>
      <c r="M1" s="2" t="s">
        <v>28</v>
      </c>
      <c r="N1" s="2" t="s">
        <v>21</v>
      </c>
    </row>
    <row r="2" spans="1:14" x14ac:dyDescent="0.25">
      <c r="A2">
        <v>1</v>
      </c>
      <c r="B2" t="s">
        <v>17</v>
      </c>
      <c r="C2" t="s">
        <v>8</v>
      </c>
      <c r="D2" t="s">
        <v>100</v>
      </c>
      <c r="E2" t="s">
        <v>20</v>
      </c>
      <c r="F2" t="s">
        <v>9</v>
      </c>
      <c r="G2" t="s">
        <v>18</v>
      </c>
      <c r="H2" t="s">
        <v>19</v>
      </c>
      <c r="I2">
        <v>2</v>
      </c>
      <c r="J2" t="s">
        <v>27</v>
      </c>
      <c r="K2">
        <f>10</f>
        <v>10</v>
      </c>
      <c r="L2" s="1" t="s">
        <v>16</v>
      </c>
      <c r="M2" t="s">
        <v>30</v>
      </c>
      <c r="N2" t="s">
        <v>22</v>
      </c>
    </row>
    <row r="3" spans="1:14" x14ac:dyDescent="0.25">
      <c r="A3">
        <v>2</v>
      </c>
      <c r="B3" t="s">
        <v>23</v>
      </c>
      <c r="C3" t="s">
        <v>8</v>
      </c>
      <c r="D3" t="s">
        <v>100</v>
      </c>
      <c r="E3" t="s">
        <v>20</v>
      </c>
      <c r="F3" t="s">
        <v>9</v>
      </c>
      <c r="G3" t="s">
        <v>11</v>
      </c>
      <c r="H3" t="s">
        <v>24</v>
      </c>
      <c r="I3">
        <v>4</v>
      </c>
      <c r="J3" t="s">
        <v>26</v>
      </c>
      <c r="K3">
        <f>4*5</f>
        <v>20</v>
      </c>
      <c r="L3" s="3" t="s">
        <v>29</v>
      </c>
      <c r="N3" t="s">
        <v>103</v>
      </c>
    </row>
    <row r="4" spans="1:14" x14ac:dyDescent="0.25">
      <c r="A4">
        <v>3</v>
      </c>
      <c r="B4" t="s">
        <v>7</v>
      </c>
      <c r="C4" t="s">
        <v>8</v>
      </c>
      <c r="D4" t="s">
        <v>100</v>
      </c>
      <c r="E4" t="s">
        <v>12</v>
      </c>
      <c r="F4" t="s">
        <v>9</v>
      </c>
      <c r="G4" t="s">
        <v>11</v>
      </c>
      <c r="H4" t="s">
        <v>15</v>
      </c>
      <c r="I4">
        <v>3</v>
      </c>
      <c r="K4">
        <f>3*3</f>
        <v>9</v>
      </c>
      <c r="L4" s="1" t="s">
        <v>14</v>
      </c>
      <c r="M4" s="1"/>
    </row>
    <row r="5" spans="1:14" x14ac:dyDescent="0.25">
      <c r="A5">
        <v>4</v>
      </c>
      <c r="B5" t="s">
        <v>32</v>
      </c>
      <c r="C5" t="s">
        <v>8</v>
      </c>
      <c r="D5" t="s">
        <v>100</v>
      </c>
      <c r="E5" t="s">
        <v>33</v>
      </c>
      <c r="F5" t="s">
        <v>9</v>
      </c>
      <c r="G5" t="s">
        <v>18</v>
      </c>
      <c r="I5">
        <v>6</v>
      </c>
      <c r="J5" t="s">
        <v>34</v>
      </c>
      <c r="K5">
        <f>6*3</f>
        <v>18</v>
      </c>
      <c r="L5" s="1" t="s">
        <v>36</v>
      </c>
      <c r="M5" t="s">
        <v>35</v>
      </c>
    </row>
    <row r="6" spans="1:14" x14ac:dyDescent="0.25">
      <c r="A6">
        <v>5</v>
      </c>
      <c r="B6" t="s">
        <v>37</v>
      </c>
      <c r="C6" t="s">
        <v>8</v>
      </c>
      <c r="D6" t="s">
        <v>100</v>
      </c>
      <c r="E6" t="s">
        <v>38</v>
      </c>
      <c r="F6" t="s">
        <v>9</v>
      </c>
      <c r="G6" t="s">
        <v>11</v>
      </c>
      <c r="H6" t="s">
        <v>39</v>
      </c>
      <c r="I6">
        <v>2</v>
      </c>
      <c r="J6" t="s">
        <v>40</v>
      </c>
      <c r="K6">
        <v>16</v>
      </c>
      <c r="L6" s="1" t="s">
        <v>41</v>
      </c>
      <c r="M6" t="s">
        <v>42</v>
      </c>
      <c r="N6" t="s">
        <v>104</v>
      </c>
    </row>
    <row r="7" spans="1:14" x14ac:dyDescent="0.25">
      <c r="A7">
        <v>6</v>
      </c>
      <c r="B7" t="s">
        <v>44</v>
      </c>
      <c r="C7" t="s">
        <v>8</v>
      </c>
      <c r="D7" t="s">
        <v>100</v>
      </c>
      <c r="E7" t="s">
        <v>45</v>
      </c>
      <c r="F7" t="s">
        <v>9</v>
      </c>
      <c r="G7" t="s">
        <v>11</v>
      </c>
      <c r="H7" t="s">
        <v>39</v>
      </c>
      <c r="I7">
        <v>4</v>
      </c>
      <c r="J7" t="s">
        <v>46</v>
      </c>
      <c r="K7">
        <f>I7*4</f>
        <v>16</v>
      </c>
      <c r="L7" t="s">
        <v>47</v>
      </c>
      <c r="M7" t="s">
        <v>48</v>
      </c>
      <c r="N7" t="s">
        <v>105</v>
      </c>
    </row>
    <row r="8" spans="1:14" x14ac:dyDescent="0.25">
      <c r="A8">
        <v>7</v>
      </c>
      <c r="B8" t="s">
        <v>49</v>
      </c>
      <c r="C8" t="s">
        <v>8</v>
      </c>
      <c r="D8" t="s">
        <v>100</v>
      </c>
      <c r="E8" t="s">
        <v>50</v>
      </c>
      <c r="F8" t="s">
        <v>9</v>
      </c>
      <c r="G8" t="s">
        <v>18</v>
      </c>
      <c r="H8" t="s">
        <v>51</v>
      </c>
      <c r="I8">
        <v>2</v>
      </c>
      <c r="J8" t="s">
        <v>52</v>
      </c>
      <c r="K8">
        <f>24</f>
        <v>24</v>
      </c>
      <c r="L8" s="1" t="s">
        <v>53</v>
      </c>
      <c r="M8" t="s">
        <v>54</v>
      </c>
      <c r="N8" s="4"/>
    </row>
    <row r="9" spans="1:14" x14ac:dyDescent="0.25">
      <c r="A9">
        <v>8</v>
      </c>
      <c r="B9" t="s">
        <v>55</v>
      </c>
      <c r="C9" t="s">
        <v>8</v>
      </c>
      <c r="D9" t="s">
        <v>100</v>
      </c>
      <c r="E9" t="s">
        <v>12</v>
      </c>
      <c r="F9" t="s">
        <v>56</v>
      </c>
      <c r="G9" t="s">
        <v>11</v>
      </c>
      <c r="H9" t="s">
        <v>57</v>
      </c>
      <c r="I9">
        <v>3</v>
      </c>
      <c r="J9" t="s">
        <v>58</v>
      </c>
      <c r="K9">
        <f>29</f>
        <v>29</v>
      </c>
      <c r="L9" s="1" t="s">
        <v>59</v>
      </c>
      <c r="M9" t="s">
        <v>54</v>
      </c>
      <c r="N9" t="s">
        <v>60</v>
      </c>
    </row>
    <row r="10" spans="1:14" x14ac:dyDescent="0.25">
      <c r="A10">
        <v>9</v>
      </c>
      <c r="B10" t="s">
        <v>61</v>
      </c>
      <c r="C10" t="s">
        <v>8</v>
      </c>
      <c r="D10" t="s">
        <v>100</v>
      </c>
      <c r="E10" t="s">
        <v>62</v>
      </c>
      <c r="F10" t="s">
        <v>56</v>
      </c>
      <c r="G10" t="s">
        <v>11</v>
      </c>
      <c r="H10" t="s">
        <v>63</v>
      </c>
      <c r="I10">
        <v>2</v>
      </c>
      <c r="J10" t="s">
        <v>64</v>
      </c>
      <c r="K10">
        <v>24</v>
      </c>
      <c r="L10" s="1" t="s">
        <v>65</v>
      </c>
      <c r="N10" t="s">
        <v>66</v>
      </c>
    </row>
    <row r="11" spans="1:14" x14ac:dyDescent="0.25">
      <c r="A11">
        <v>10</v>
      </c>
      <c r="B11" t="s">
        <v>67</v>
      </c>
      <c r="C11" t="s">
        <v>8</v>
      </c>
      <c r="D11" t="s">
        <v>100</v>
      </c>
      <c r="E11" t="s">
        <v>69</v>
      </c>
      <c r="F11" t="s">
        <v>56</v>
      </c>
      <c r="G11" t="s">
        <v>11</v>
      </c>
      <c r="H11" t="s">
        <v>68</v>
      </c>
      <c r="I11">
        <v>2</v>
      </c>
      <c r="J11" t="s">
        <v>70</v>
      </c>
      <c r="K11">
        <v>33</v>
      </c>
      <c r="L11" s="1" t="s">
        <v>71</v>
      </c>
      <c r="M11" t="s">
        <v>72</v>
      </c>
    </row>
    <row r="12" spans="1:14" x14ac:dyDescent="0.25">
      <c r="A12">
        <v>11</v>
      </c>
      <c r="B12" t="s">
        <v>74</v>
      </c>
      <c r="C12" t="s">
        <v>8</v>
      </c>
      <c r="D12" t="s">
        <v>100</v>
      </c>
      <c r="E12" t="s">
        <v>73</v>
      </c>
      <c r="F12" t="s">
        <v>56</v>
      </c>
      <c r="G12" t="s">
        <v>18</v>
      </c>
      <c r="H12" t="s">
        <v>75</v>
      </c>
      <c r="I12">
        <v>2</v>
      </c>
      <c r="J12" t="s">
        <v>76</v>
      </c>
      <c r="K12">
        <f>9</f>
        <v>9</v>
      </c>
      <c r="L12" s="1" t="s">
        <v>77</v>
      </c>
    </row>
    <row r="13" spans="1:14" x14ac:dyDescent="0.25">
      <c r="A13">
        <v>12</v>
      </c>
      <c r="B13" t="s">
        <v>78</v>
      </c>
      <c r="C13" t="s">
        <v>8</v>
      </c>
      <c r="D13" t="s">
        <v>100</v>
      </c>
      <c r="E13" t="s">
        <v>31</v>
      </c>
      <c r="F13" t="s">
        <v>9</v>
      </c>
      <c r="G13" t="s">
        <v>18</v>
      </c>
      <c r="H13" t="s">
        <v>79</v>
      </c>
      <c r="I13">
        <v>2</v>
      </c>
      <c r="J13" t="s">
        <v>76</v>
      </c>
      <c r="K13">
        <v>16</v>
      </c>
      <c r="L13" s="1" t="s">
        <v>81</v>
      </c>
      <c r="N13" t="s">
        <v>80</v>
      </c>
    </row>
    <row r="14" spans="1:14" x14ac:dyDescent="0.25">
      <c r="A14">
        <v>13</v>
      </c>
      <c r="B14" t="s">
        <v>84</v>
      </c>
      <c r="C14" t="s">
        <v>8</v>
      </c>
      <c r="D14" t="s">
        <v>100</v>
      </c>
      <c r="E14" t="s">
        <v>50</v>
      </c>
      <c r="F14" t="s">
        <v>9</v>
      </c>
      <c r="G14" t="s">
        <v>11</v>
      </c>
      <c r="H14" t="s">
        <v>85</v>
      </c>
      <c r="I14">
        <v>4</v>
      </c>
      <c r="J14" t="s">
        <v>86</v>
      </c>
      <c r="K14">
        <f>8*4</f>
        <v>32</v>
      </c>
      <c r="L14" s="1" t="s">
        <v>82</v>
      </c>
      <c r="N14" t="s">
        <v>83</v>
      </c>
    </row>
    <row r="15" spans="1:14" x14ac:dyDescent="0.25">
      <c r="A15">
        <v>14</v>
      </c>
      <c r="B15" t="s">
        <v>87</v>
      </c>
      <c r="C15" t="s">
        <v>8</v>
      </c>
      <c r="D15" t="s">
        <v>100</v>
      </c>
      <c r="E15" t="s">
        <v>69</v>
      </c>
      <c r="F15" t="s">
        <v>9</v>
      </c>
      <c r="G15" t="s">
        <v>11</v>
      </c>
      <c r="H15" t="s">
        <v>88</v>
      </c>
      <c r="I15">
        <v>2</v>
      </c>
      <c r="J15" t="s">
        <v>89</v>
      </c>
      <c r="K15">
        <v>10</v>
      </c>
      <c r="L15" s="1" t="s">
        <v>102</v>
      </c>
      <c r="N15" t="s">
        <v>106</v>
      </c>
    </row>
    <row r="16" spans="1:14" x14ac:dyDescent="0.25">
      <c r="A16">
        <v>15</v>
      </c>
      <c r="D16" t="s">
        <v>100</v>
      </c>
      <c r="L16" s="1"/>
    </row>
    <row r="17" spans="1:4" x14ac:dyDescent="0.25">
      <c r="A17">
        <v>16</v>
      </c>
      <c r="D17" t="s">
        <v>101</v>
      </c>
    </row>
    <row r="18" spans="1:4" x14ac:dyDescent="0.25">
      <c r="A18">
        <v>17</v>
      </c>
      <c r="D18" t="s">
        <v>101</v>
      </c>
    </row>
    <row r="19" spans="1:4" x14ac:dyDescent="0.25">
      <c r="A19">
        <v>18</v>
      </c>
      <c r="D19" t="s">
        <v>101</v>
      </c>
    </row>
    <row r="20" spans="1:4" x14ac:dyDescent="0.25">
      <c r="A20">
        <v>19</v>
      </c>
      <c r="D20" t="s">
        <v>101</v>
      </c>
    </row>
    <row r="21" spans="1:4" x14ac:dyDescent="0.25">
      <c r="A21">
        <v>20</v>
      </c>
      <c r="D21" t="s">
        <v>101</v>
      </c>
    </row>
    <row r="22" spans="1:4" x14ac:dyDescent="0.25">
      <c r="A22">
        <v>21</v>
      </c>
      <c r="D22" t="s">
        <v>101</v>
      </c>
    </row>
    <row r="23" spans="1:4" x14ac:dyDescent="0.25">
      <c r="A23">
        <v>22</v>
      </c>
      <c r="D23" t="s">
        <v>101</v>
      </c>
    </row>
    <row r="24" spans="1:4" x14ac:dyDescent="0.25">
      <c r="A24">
        <v>23</v>
      </c>
      <c r="D24" t="s">
        <v>101</v>
      </c>
    </row>
    <row r="25" spans="1:4" x14ac:dyDescent="0.25">
      <c r="A25">
        <v>24</v>
      </c>
      <c r="D25" t="s">
        <v>101</v>
      </c>
    </row>
    <row r="26" spans="1:4" x14ac:dyDescent="0.25">
      <c r="A26">
        <v>25</v>
      </c>
      <c r="D26" t="s">
        <v>101</v>
      </c>
    </row>
    <row r="27" spans="1:4" x14ac:dyDescent="0.25">
      <c r="A27">
        <v>26</v>
      </c>
      <c r="D27" t="s">
        <v>101</v>
      </c>
    </row>
    <row r="28" spans="1:4" x14ac:dyDescent="0.25">
      <c r="A28">
        <v>27</v>
      </c>
      <c r="D28" t="s">
        <v>101</v>
      </c>
    </row>
    <row r="29" spans="1:4" x14ac:dyDescent="0.25">
      <c r="A29">
        <v>28</v>
      </c>
      <c r="D29" t="s">
        <v>101</v>
      </c>
    </row>
    <row r="30" spans="1:4" x14ac:dyDescent="0.25">
      <c r="A30">
        <v>29</v>
      </c>
      <c r="D30" t="s">
        <v>101</v>
      </c>
    </row>
    <row r="31" spans="1:4" x14ac:dyDescent="0.25">
      <c r="A31">
        <v>30</v>
      </c>
      <c r="D31" t="s">
        <v>101</v>
      </c>
    </row>
    <row r="32" spans="1:4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</sheetData>
  <hyperlinks>
    <hyperlink ref="L4" r:id="rId1" display="https://doi.org/10.1016/j.stemcr.2022.04.003" xr:uid="{A58B2C92-8135-4993-80B6-E01F7C4414D7}"/>
    <hyperlink ref="L2" r:id="rId2" xr:uid="{ECF580C4-849C-4561-A481-5430106E5AFC}"/>
    <hyperlink ref="L3" r:id="rId3" xr:uid="{56A4D8A2-3CDC-4C94-BF7F-C9AE6847D147}"/>
    <hyperlink ref="L5" r:id="rId4" location="Sec9" xr:uid="{7F005011-D3D0-40EB-9669-AC279104458C}"/>
    <hyperlink ref="L6" r:id="rId5" xr:uid="{A191089C-F484-4E45-8BCC-52AA445AD4F5}"/>
    <hyperlink ref="L8" r:id="rId6" xr:uid="{C5BC7455-0EFA-4A23-B621-721339B38A6F}"/>
    <hyperlink ref="L9" r:id="rId7" xr:uid="{B7CED74B-1E74-43D2-A36B-EAB3B1E178BC}"/>
    <hyperlink ref="L10" r:id="rId8" location="sd" xr:uid="{52E8DACA-8996-4096-ACEA-71C8C40EA025}"/>
    <hyperlink ref="L11" r:id="rId9" xr:uid="{27478232-A532-4DCE-809B-5DD99BA4CE49}"/>
    <hyperlink ref="L12" r:id="rId10" xr:uid="{50937FCB-E158-45DA-96E3-555511B96735}"/>
    <hyperlink ref="L13" r:id="rId11" location="Sec11" xr:uid="{EAAEE3D5-FD5F-4C5E-BEDE-E149007B61D7}"/>
    <hyperlink ref="L14" r:id="rId12" xr:uid="{1466ACE4-040B-4872-B3E7-CB073BC90CE4}"/>
    <hyperlink ref="L15" r:id="rId13" display="https://doi.org/10.1038/s42255-021-00420-9" xr:uid="{AA76EE2A-3D95-4B26-A3B2-D6961FCAA8B9}"/>
  </hyperlinks>
  <pageMargins left="0.7" right="0.7" top="0.75" bottom="0.75" header="0.3" footer="0.3"/>
  <pageSetup paperSize="9"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87B5-F5A7-4715-8903-807F8D9032AE}">
  <dimension ref="A1:O2"/>
  <sheetViews>
    <sheetView workbookViewId="0">
      <selection sqref="A1:XFD1"/>
    </sheetView>
  </sheetViews>
  <sheetFormatPr baseColWidth="10" defaultRowHeight="15" x14ac:dyDescent="0.25"/>
  <sheetData>
    <row r="1" spans="1:15" s="2" customFormat="1" ht="15.75" x14ac:dyDescent="0.25">
      <c r="A1" s="2" t="s">
        <v>43</v>
      </c>
      <c r="B1" s="2" t="s">
        <v>0</v>
      </c>
      <c r="C1" s="2" t="s">
        <v>1</v>
      </c>
      <c r="D1" s="2" t="s">
        <v>99</v>
      </c>
      <c r="E1" s="2" t="s">
        <v>96</v>
      </c>
      <c r="F1" s="2" t="s">
        <v>2</v>
      </c>
      <c r="G1" s="2" t="s">
        <v>3</v>
      </c>
      <c r="H1" s="2" t="s">
        <v>4</v>
      </c>
      <c r="I1" s="2" t="s">
        <v>10</v>
      </c>
      <c r="J1" s="2" t="s">
        <v>5</v>
      </c>
      <c r="K1" s="2" t="s">
        <v>25</v>
      </c>
      <c r="L1" s="2" t="s">
        <v>6</v>
      </c>
      <c r="M1" s="2" t="s">
        <v>13</v>
      </c>
      <c r="N1" s="2" t="s">
        <v>28</v>
      </c>
      <c r="O1" s="2" t="s">
        <v>21</v>
      </c>
    </row>
    <row r="2" spans="1:15" x14ac:dyDescent="0.25">
      <c r="A2">
        <v>15</v>
      </c>
      <c r="B2" t="s">
        <v>90</v>
      </c>
      <c r="C2" t="s">
        <v>8</v>
      </c>
      <c r="D2" t="s">
        <v>100</v>
      </c>
      <c r="E2" t="s">
        <v>97</v>
      </c>
      <c r="F2" t="s">
        <v>31</v>
      </c>
      <c r="G2" t="s">
        <v>91</v>
      </c>
      <c r="H2" t="s">
        <v>11</v>
      </c>
      <c r="I2" t="s">
        <v>92</v>
      </c>
      <c r="J2">
        <v>7</v>
      </c>
      <c r="K2" t="s">
        <v>93</v>
      </c>
      <c r="L2">
        <v>365</v>
      </c>
      <c r="M2" s="1" t="s">
        <v>98</v>
      </c>
      <c r="N2" t="s">
        <v>94</v>
      </c>
      <c r="O2" t="s">
        <v>95</v>
      </c>
    </row>
  </sheetData>
  <hyperlinks>
    <hyperlink ref="M2" r:id="rId1" xr:uid="{6B2D74F5-F272-4070-8CE0-D8DD58A4FA2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</vt:lpstr>
      <vt:lpstr>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2026-01-26T09:11:49Z</dcterms:created>
  <dcterms:modified xsi:type="dcterms:W3CDTF">2026-01-29T12:21:40Z</dcterms:modified>
</cp:coreProperties>
</file>