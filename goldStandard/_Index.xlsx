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\goldStandard\"/>
    </mc:Choice>
  </mc:AlternateContent>
  <xr:revisionPtr revIDLastSave="0" documentId="13_ncr:1_{5A645F18-FB62-4283-832A-F711B021F64D}" xr6:coauthVersionLast="47" xr6:coauthVersionMax="47" xr10:uidLastSave="{00000000-0000-0000-0000-000000000000}"/>
  <bookViews>
    <workbookView xWindow="25695" yWindow="0" windowWidth="26010" windowHeight="20985" xr2:uid="{F827C457-048B-4104-BF2A-59E43A6422D6}"/>
  </bookViews>
  <sheets>
    <sheet name="In" sheetId="1" r:id="rId1"/>
    <sheet name="Out" sheetId="2" r:id="rId2"/>
    <sheet name="Possibl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1" i="1" l="1"/>
  <c r="I51" i="1"/>
  <c r="K50" i="1"/>
  <c r="I50" i="1"/>
  <c r="K49" i="1"/>
  <c r="K46" i="1"/>
  <c r="K43" i="1"/>
  <c r="K41" i="1"/>
  <c r="K40" i="1"/>
  <c r="K39" i="1"/>
  <c r="K38" i="1"/>
  <c r="K37" i="1"/>
  <c r="K36" i="1" l="1"/>
  <c r="K35" i="1"/>
  <c r="K34" i="1"/>
  <c r="K33" i="1"/>
  <c r="I33" i="1"/>
  <c r="K32" i="1"/>
  <c r="K21" i="1"/>
  <c r="K31" i="1"/>
  <c r="K30" i="1"/>
  <c r="K29" i="1"/>
  <c r="K28" i="1"/>
  <c r="K27" i="1"/>
  <c r="K24" i="1"/>
  <c r="I24" i="1"/>
  <c r="K23" i="1"/>
  <c r="K22" i="1"/>
  <c r="K42" i="1"/>
  <c r="K20" i="1"/>
  <c r="K19" i="1"/>
  <c r="K3" i="1"/>
  <c r="K14" i="1"/>
  <c r="K12" i="1" l="1"/>
  <c r="K9" i="1"/>
  <c r="K8" i="1"/>
  <c r="K7" i="1"/>
  <c r="K5" i="1"/>
  <c r="K2" i="1"/>
  <c r="K4" i="1"/>
</calcChain>
</file>

<file path=xl/sharedStrings.xml><?xml version="1.0" encoding="utf-8"?>
<sst xmlns="http://schemas.openxmlformats.org/spreadsheetml/2006/main" count="563" uniqueCount="260">
  <si>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</si>
  <si>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</si>
  <si>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</si>
  <si>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</si>
  <si>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</si>
  <si>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</si>
  <si>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</si>
  <si>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</si>
  <si>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</si>
  <si>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</si>
  <si>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</si>
  <si>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</si>
  <si>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</si>
  <si>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</si>
  <si>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</si>
  <si>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Neural retina; Pluripotencial stem cells Brain</t>
  </si>
  <si>
    <t>DOI: 10.1128/JVI.00790-24</t>
  </si>
  <si>
    <t>PXD055210</t>
  </si>
  <si>
    <t>Mus musculus</t>
  </si>
  <si>
    <t>embrionic fibroblast</t>
  </si>
  <si>
    <t>Q Exactive HF-X</t>
  </si>
  <si>
    <t>Comments</t>
  </si>
  <si>
    <t>2 conditions assessed: pulse and pulseChase</t>
  </si>
  <si>
    <t>PXD058699</t>
  </si>
  <si>
    <t>Jurkat cell; T cell</t>
  </si>
  <si>
    <t>Group names</t>
  </si>
  <si>
    <t>(gap);L;M;H</t>
  </si>
  <si>
    <t>Edu;DMSO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</si>
  <si>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</si>
  <si>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</si>
  <si>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</si>
  <si>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</si>
  <si>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</si>
  <si>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</si>
  <si>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1;2;3;4;5;6</t>
  </si>
  <si>
    <t>XLSX: Supplementary table (sheet sf6g)</t>
  </si>
  <si>
    <t>DOI: 10.1038/s41467-022-29486-z</t>
  </si>
  <si>
    <t>PXD066495</t>
  </si>
  <si>
    <t>Orbitrap Ascend</t>
  </si>
  <si>
    <t>Cell culture</t>
  </si>
  <si>
    <t>SCR;sgALAS1</t>
  </si>
  <si>
    <t>DOI: 10.1016/J.CELL.2025.10.028</t>
  </si>
  <si>
    <t>XLSX: supplementary sample legend</t>
  </si>
  <si>
    <t>Number</t>
  </si>
  <si>
    <t>PXD065898</t>
  </si>
  <si>
    <t>Orbitrap Exploris 480</t>
  </si>
  <si>
    <t>Nutlin;DMSO</t>
  </si>
  <si>
    <t>Pending</t>
  </si>
  <si>
    <t>XLSX: sample information</t>
  </si>
  <si>
    <t>PXD064630</t>
  </si>
  <si>
    <t>Q Exactive HF</t>
  </si>
  <si>
    <t>Bone marrow; macrophage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</si>
  <si>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</si>
  <si>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</si>
  <si>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</si>
  <si>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</si>
  <si>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</si>
  <si>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</si>
  <si>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</si>
  <si>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</si>
  <si>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</si>
  <si>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</si>
  <si>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Lung tissue</t>
  </si>
  <si>
    <t>DOI: 10.1172/JCI.INSIGHT.189636</t>
  </si>
  <si>
    <t>2 subtissues assessed: airway and alveoli</t>
  </si>
  <si>
    <t>PXD029547</t>
  </si>
  <si>
    <t>Blood plasma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</si>
  <si>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</si>
  <si>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</si>
  <si>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</si>
  <si>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</si>
  <si>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</si>
  <si>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</si>
  <si>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Vascular smooth muscle cells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</si>
  <si>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</si>
  <si>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</si>
  <si>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</si>
  <si>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</si>
  <si>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</si>
  <si>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</si>
  <si>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</si>
  <si>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</si>
  <si>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</si>
  <si>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</si>
  <si>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CTRL;T2D;NPDR;PDR</t>
  </si>
  <si>
    <t>PXD022561</t>
  </si>
  <si>
    <t>Pancreas</t>
  </si>
  <si>
    <t>ND;T2D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</si>
  <si>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</si>
  <si>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</si>
  <si>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</si>
  <si>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</si>
  <si>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</si>
  <si>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</si>
  <si>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</si>
  <si>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</si>
  <si>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</si>
  <si>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</si>
  <si>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</si>
  <si>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</si>
  <si>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</si>
  <si>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</si>
  <si>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</si>
  <si>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</si>
  <si>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</si>
  <si>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</si>
  <si>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Control;IPF X Alveoli;Airway;</t>
  </si>
  <si>
    <t>PXD022614</t>
  </si>
  <si>
    <t>LTQ Orbitrap;Q Exactive</t>
  </si>
  <si>
    <t>Adult;Adult+Sperm;Young</t>
  </si>
  <si>
    <t>PXD019504</t>
  </si>
  <si>
    <t>Colon</t>
  </si>
  <si>
    <t>C;T</t>
  </si>
  <si>
    <t>DOI: 10.18632/oncotarget.27491</t>
  </si>
  <si>
    <t>PXD054553</t>
  </si>
  <si>
    <t>Blood</t>
  </si>
  <si>
    <t>BJAB;MEC-1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</si>
  <si>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</si>
  <si>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</si>
  <si>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</si>
  <si>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</si>
  <si>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</si>
  <si>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</si>
  <si>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ARIDA;IgG</t>
  </si>
  <si>
    <t>DOI: 10.1002/1878-0261.70019</t>
  </si>
  <si>
    <t>Experiment 1</t>
  </si>
  <si>
    <t>Experiment 2</t>
  </si>
  <si>
    <t>Cntl;IPL</t>
  </si>
  <si>
    <t>PXD054817.2</t>
  </si>
  <si>
    <t>PXD046983</t>
  </si>
  <si>
    <t>ZenoTOF 7600</t>
  </si>
  <si>
    <t>DIANN</t>
  </si>
  <si>
    <t>Retina</t>
  </si>
  <si>
    <t>Ctl;LIM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</si>
  <si>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</si>
  <si>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</si>
  <si>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</si>
  <si>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</si>
  <si>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</si>
  <si>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PXD052720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</si>
  <si>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</si>
  <si>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</si>
  <si>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</si>
  <si>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</si>
  <si>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</si>
  <si>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</si>
  <si>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</si>
  <si>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Control;Moyamoya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</si>
  <si>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</si>
  <si>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</si>
  <si>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</si>
  <si>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</si>
  <si>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</si>
  <si>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</si>
  <si>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</si>
  <si>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</si>
  <si>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</si>
  <si>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</si>
  <si>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</si>
  <si>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</si>
  <si>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</si>
  <si>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</si>
  <si>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</si>
  <si>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</si>
  <si>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</si>
  <si>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</si>
  <si>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</si>
  <si>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</si>
  <si>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</si>
  <si>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</si>
  <si>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</si>
  <si>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</si>
  <si>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</si>
  <si>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</si>
  <si>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</si>
  <si>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</si>
  <si>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</si>
  <si>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</si>
  <si>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</si>
  <si>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</si>
  <si>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</si>
  <si>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</si>
  <si>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</si>
  <si>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</si>
  <si>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Unfixed;fixed</t>
  </si>
  <si>
    <t>DOI: 10.1016/j.ocarto.2025.100664</t>
  </si>
  <si>
    <t>Chondrocytes</t>
  </si>
  <si>
    <t>timsTOF HT</t>
  </si>
  <si>
    <t>PXD051201</t>
  </si>
  <si>
    <t>Men;Women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</si>
  <si>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</si>
  <si>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</si>
  <si>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</si>
  <si>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</si>
  <si>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Young;OLD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</si>
  <si>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</si>
  <si>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</si>
  <si>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</si>
  <si>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</si>
  <si>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</si>
  <si>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</si>
  <si>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</si>
  <si>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</si>
  <si>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</si>
  <si>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</si>
  <si>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</si>
  <si>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</si>
  <si>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</si>
  <si>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</si>
  <si>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</si>
  <si>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</si>
  <si>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</si>
  <si>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</si>
  <si>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</si>
  <si>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</si>
  <si>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</si>
  <si>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</si>
  <si>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</si>
  <si>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</si>
  <si>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</si>
  <si>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</si>
  <si>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</si>
  <si>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</si>
  <si>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</si>
  <si>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RWPE1/KSFM;RWPE1/MEMa;22Rv;LNCaP;PC3"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</si>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</sst>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6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  <xf numFmtId="0" fontId="0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38/s42255-021-00420-9" TargetMode="External"/><Relationship Id="rId18" Type="http://schemas.openxmlformats.org/officeDocument/2006/relationships/hyperlink" Target="https://onlinelibrary.wiley.com/doi/10.1002/jmv.29775" TargetMode="External"/><Relationship Id="rId26" Type="http://schemas.openxmlformats.org/officeDocument/2006/relationships/hyperlink" Target="https://www.oarsiopenjournal.com/article/S2665-9131(25)00100-1/fulltext" TargetMode="External"/><Relationship Id="rId39" Type="http://schemas.openxmlformats.org/officeDocument/2006/relationships/hyperlink" Target="https://www.mdpi.com/2072-6694/15/20/4997" TargetMode="External"/><Relationship Id="rId21" Type="http://schemas.openxmlformats.org/officeDocument/2006/relationships/hyperlink" Target="https://www.nature.com/articles/s44259-024-00050-7" TargetMode="External"/><Relationship Id="rId34" Type="http://schemas.openxmlformats.org/officeDocument/2006/relationships/hyperlink" Target="https://www.mdpi.com/2077-0383/13/23/7287" TargetMode="External"/><Relationship Id="rId7" Type="http://schemas.openxmlformats.org/officeDocument/2006/relationships/hyperlink" Target="https://pubs.acs.org/doi/10.1021/acs.jproteome.3c00677" TargetMode="External"/><Relationship Id="rId2" Type="http://schemas.openxmlformats.org/officeDocument/2006/relationships/hyperlink" Target="https://journals.asm.org/doi/10.1128/jvi.00790-24" TargetMode="External"/><Relationship Id="rId16" Type="http://schemas.openxmlformats.org/officeDocument/2006/relationships/hyperlink" Target="https://febs.onlinelibrary.wiley.com/doi/10.1002/1878-0261.70019" TargetMode="External"/><Relationship Id="rId20" Type="http://schemas.openxmlformats.org/officeDocument/2006/relationships/hyperlink" Target="https://www.biorxiv.org/content/10.1101/2023.09.16.558067v2" TargetMode="External"/><Relationship Id="rId29" Type="http://schemas.openxmlformats.org/officeDocument/2006/relationships/hyperlink" Target="https://isevjournals.onlinelibrary.wiley.com/doi/10.1002/jex2.70108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www.jbc.org/article/S0021-9258(25)02768-1/fulltext" TargetMode="External"/><Relationship Id="rId11" Type="http://schemas.openxmlformats.org/officeDocument/2006/relationships/hyperlink" Target="https://www.nature.com/articles/s41467-025-64360-8" TargetMode="External"/><Relationship Id="rId24" Type="http://schemas.openxmlformats.org/officeDocument/2006/relationships/hyperlink" Target="https://link.springer.com/article/10.1007/s12195-025-00843-4" TargetMode="External"/><Relationship Id="rId32" Type="http://schemas.openxmlformats.org/officeDocument/2006/relationships/hyperlink" Target="https://link.springer.com/article/10.1186/s13075-025-03489-9" TargetMode="External"/><Relationship Id="rId37" Type="http://schemas.openxmlformats.org/officeDocument/2006/relationships/hyperlink" Target="https://www.sciencedirect.com/science/article/pii/S2212877824001145?via%3Dihub" TargetMode="External"/><Relationship Id="rId40" Type="http://schemas.openxmlformats.org/officeDocument/2006/relationships/hyperlink" Target="https://www.mdpi.com/2076-3921/13/11/1340" TargetMode="External"/><Relationship Id="rId5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15" Type="http://schemas.openxmlformats.org/officeDocument/2006/relationships/hyperlink" Target="https://www.jbc.org/article/S0021-9258(25)00235-2/fulltext" TargetMode="External"/><Relationship Id="rId23" Type="http://schemas.openxmlformats.org/officeDocument/2006/relationships/hyperlink" Target="https://www.jbc.org/article/S0021-9258(25)00249-2/fulltext" TargetMode="External"/><Relationship Id="rId28" Type="http://schemas.openxmlformats.org/officeDocument/2006/relationships/hyperlink" Target="https://aacrjournals.org/cancerres/article/doi/10.1158/0008-5472.CAN-25-1904/771884/The-Aging-Microenvironment-Is-a-Determinant-of" TargetMode="External"/><Relationship Id="rId36" Type="http://schemas.openxmlformats.org/officeDocument/2006/relationships/hyperlink" Target="https://www.mdpi.com/1422-0067/24/20/15412" TargetMode="External"/><Relationship Id="rId10" Type="http://schemas.openxmlformats.org/officeDocument/2006/relationships/hyperlink" Target="https://insight.jci.org/articles/view/164751" TargetMode="External"/><Relationship Id="rId19" Type="http://schemas.openxmlformats.org/officeDocument/2006/relationships/hyperlink" Target="https://www.mcponline.org/article/S1535-9476(25)00561-4/fulltext" TargetMode="External"/><Relationship Id="rId31" Type="http://schemas.openxmlformats.org/officeDocument/2006/relationships/hyperlink" Target="https://onlinelibrary.wiley.com/doi/10.1111/acel.70242" TargetMode="External"/><Relationship Id="rId4" Type="http://schemas.openxmlformats.org/officeDocument/2006/relationships/hyperlink" Target="https://www.nature.com/articles/s41467-022-29486-z" TargetMode="External"/><Relationship Id="rId9" Type="http://schemas.openxmlformats.org/officeDocument/2006/relationships/hyperlink" Target="https://journals.plos.org/plospathogens/article?id=10.1371/journal.ppat.1010176" TargetMode="External"/><Relationship Id="rId14" Type="http://schemas.openxmlformats.org/officeDocument/2006/relationships/hyperlink" Target="https://pmc.ncbi.nlm.nih.gov/articles/PMC7055541/" TargetMode="External"/><Relationship Id="rId22" Type="http://schemas.openxmlformats.org/officeDocument/2006/relationships/hyperlink" Target="https://www.nature.com/articles/s44259-024-00050-7" TargetMode="External"/><Relationship Id="rId27" Type="http://schemas.openxmlformats.org/officeDocument/2006/relationships/hyperlink" Target="https://link.springer.com/article/10.1186/s12014-025-09549-1" TargetMode="External"/><Relationship Id="rId30" Type="http://schemas.openxmlformats.org/officeDocument/2006/relationships/hyperlink" Target="https://www.sciencedirect.com/science/article/pii/S0003996925001475?via%3Dihub" TargetMode="External"/><Relationship Id="rId35" Type="http://schemas.openxmlformats.org/officeDocument/2006/relationships/hyperlink" Target="https://www.mdpi.com/2076-3921/13/11/1340" TargetMode="External"/><Relationship Id="rId8" Type="http://schemas.openxmlformats.org/officeDocument/2006/relationships/hyperlink" Target="https://insight.jci.org/articles/view/189636" TargetMode="External"/><Relationship Id="rId3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Relationship Id="rId12" Type="http://schemas.openxmlformats.org/officeDocument/2006/relationships/hyperlink" Target="https://www.frontiersin.org/journals/medicine/articles/10.3389/fmed.2022.873483/full" TargetMode="External"/><Relationship Id="rId17" Type="http://schemas.openxmlformats.org/officeDocument/2006/relationships/hyperlink" Target="https://febs.onlinelibrary.wiley.com/doi/10.1002/1878-0261.70019" TargetMode="External"/><Relationship Id="rId25" Type="http://schemas.openxmlformats.org/officeDocument/2006/relationships/hyperlink" Target="https://academic.oup.com/molehr/article/31/4/gaaf055/8326878?login=false" TargetMode="External"/><Relationship Id="rId33" Type="http://schemas.openxmlformats.org/officeDocument/2006/relationships/hyperlink" Target="https://www.mdpi.com/2077-0383/13/23/7287" TargetMode="External"/><Relationship Id="rId38" Type="http://schemas.openxmlformats.org/officeDocument/2006/relationships/hyperlink" Target="https://link.springer.com/article/10.1007/s00018-023-04900-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ature.com/articles/s41467-025-61054-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N61"/>
  <sheetViews>
    <sheetView tabSelected="1" workbookViewId="0">
      <selection activeCell="M52" sqref="M52"/>
    </sheetView>
  </sheetViews>
  <sheetFormatPr baseColWidth="10" defaultRowHeight="15" x14ac:dyDescent="0.25"/>
  <cols>
    <col min="2" max="2" width="13.28515625" customWidth="1"/>
    <col min="5" max="5" width="22.85546875" customWidth="1"/>
    <col min="6" max="6" width="15.28515625" bestFit="1" customWidth="1"/>
    <col min="7" max="7" width="17.7109375" customWidth="1"/>
    <col min="8" max="8" width="37.5703125" bestFit="1" customWidth="1"/>
    <col min="10" max="10" width="14.28515625" customWidth="1"/>
    <col min="12" max="12" width="38.28515625" customWidth="1"/>
    <col min="13" max="13" width="40.7109375" customWidth="1"/>
    <col min="14" max="14" width="38.42578125" bestFit="1" customWidth="1"/>
  </cols>
  <sheetData>
    <row r="1" spans="1:14" s="2" customFormat="1" ht="15.75" x14ac:dyDescent="0.25">
      <c r="A1" s="2" t="s">
        <v>43</v>
      </c>
      <c r="B1" s="2" t="s">
        <v>0</v>
      </c>
      <c r="C1" s="2" t="s">
        <v>1</v>
      </c>
      <c r="D1" s="2" t="s">
        <v>97</v>
      </c>
      <c r="E1" s="2" t="s">
        <v>2</v>
      </c>
      <c r="F1" s="2" t="s">
        <v>3</v>
      </c>
      <c r="G1" s="2" t="s">
        <v>4</v>
      </c>
      <c r="H1" s="2" t="s">
        <v>10</v>
      </c>
      <c r="I1" s="2" t="s">
        <v>5</v>
      </c>
      <c r="J1" s="2" t="s">
        <v>25</v>
      </c>
      <c r="K1" s="2" t="s">
        <v>6</v>
      </c>
      <c r="L1" s="2" t="s">
        <v>13</v>
      </c>
      <c r="M1" s="2" t="s">
        <v>28</v>
      </c>
      <c r="N1" s="2" t="s">
        <v>21</v>
      </c>
    </row>
    <row r="2" spans="1:14" x14ac:dyDescent="0.25">
      <c r="A2">
        <v>1</v>
      </c>
      <c r="B2" t="s">
        <v>17</v>
      </c>
      <c r="C2" t="s">
        <v>8</v>
      </c>
      <c r="D2" t="s">
        <v>98</v>
      </c>
      <c r="E2" t="s">
        <v>20</v>
      </c>
      <c r="F2" t="s">
        <v>9</v>
      </c>
      <c r="G2" t="s">
        <v>18</v>
      </c>
      <c r="H2" t="s">
        <v>19</v>
      </c>
      <c r="I2">
        <v>2</v>
      </c>
      <c r="J2" t="s">
        <v>27</v>
      </c>
      <c r="K2">
        <f>10</f>
        <v>10</v>
      </c>
      <c r="L2" s="1" t="s">
        <v>16</v>
      </c>
      <c r="M2" t="s">
        <v>30</v>
      </c>
      <c r="N2" t="s">
        <v>22</v>
      </c>
    </row>
    <row r="3" spans="1:14" x14ac:dyDescent="0.25">
      <c r="A3">
        <v>2</v>
      </c>
      <c r="B3" t="s">
        <v>23</v>
      </c>
      <c r="C3" t="s">
        <v>8</v>
      </c>
      <c r="D3" t="s">
        <v>98</v>
      </c>
      <c r="E3" t="s">
        <v>20</v>
      </c>
      <c r="F3" t="s">
        <v>9</v>
      </c>
      <c r="G3" t="s">
        <v>11</v>
      </c>
      <c r="H3" t="s">
        <v>24</v>
      </c>
      <c r="I3">
        <v>4</v>
      </c>
      <c r="J3" t="s">
        <v>26</v>
      </c>
      <c r="K3">
        <f>4*5</f>
        <v>20</v>
      </c>
      <c r="L3" s="3" t="s">
        <v>29</v>
      </c>
      <c r="N3" t="s">
        <v>101</v>
      </c>
    </row>
    <row r="4" spans="1:14" x14ac:dyDescent="0.25">
      <c r="A4">
        <v>3</v>
      </c>
      <c r="B4" t="s">
        <v>7</v>
      </c>
      <c r="C4" t="s">
        <v>8</v>
      </c>
      <c r="D4" t="s">
        <v>98</v>
      </c>
      <c r="E4" t="s">
        <v>12</v>
      </c>
      <c r="F4" t="s">
        <v>9</v>
      </c>
      <c r="G4" t="s">
        <v>11</v>
      </c>
      <c r="H4" t="s">
        <v>15</v>
      </c>
      <c r="I4">
        <v>3</v>
      </c>
      <c r="K4">
        <f>3*3</f>
        <v>9</v>
      </c>
      <c r="L4" s="1" t="s">
        <v>14</v>
      </c>
      <c r="M4" s="1"/>
    </row>
    <row r="5" spans="1:14" x14ac:dyDescent="0.25">
      <c r="A5">
        <v>4</v>
      </c>
      <c r="B5" t="s">
        <v>32</v>
      </c>
      <c r="C5" t="s">
        <v>8</v>
      </c>
      <c r="D5" t="s">
        <v>98</v>
      </c>
      <c r="E5" t="s">
        <v>33</v>
      </c>
      <c r="F5" t="s">
        <v>9</v>
      </c>
      <c r="G5" t="s">
        <v>18</v>
      </c>
      <c r="I5">
        <v>6</v>
      </c>
      <c r="J5" t="s">
        <v>34</v>
      </c>
      <c r="K5">
        <f>6*3</f>
        <v>18</v>
      </c>
      <c r="L5" s="1" t="s">
        <v>36</v>
      </c>
      <c r="M5" t="s">
        <v>35</v>
      </c>
    </row>
    <row r="6" spans="1:14" x14ac:dyDescent="0.25">
      <c r="A6">
        <v>5</v>
      </c>
      <c r="B6" t="s">
        <v>37</v>
      </c>
      <c r="C6" t="s">
        <v>8</v>
      </c>
      <c r="D6" t="s">
        <v>98</v>
      </c>
      <c r="E6" t="s">
        <v>38</v>
      </c>
      <c r="F6" t="s">
        <v>9</v>
      </c>
      <c r="G6" t="s">
        <v>11</v>
      </c>
      <c r="H6" t="s">
        <v>39</v>
      </c>
      <c r="I6">
        <v>2</v>
      </c>
      <c r="J6" t="s">
        <v>40</v>
      </c>
      <c r="K6">
        <v>16</v>
      </c>
      <c r="L6" s="1" t="s">
        <v>41</v>
      </c>
      <c r="M6" t="s">
        <v>42</v>
      </c>
      <c r="N6" t="s">
        <v>102</v>
      </c>
    </row>
    <row r="7" spans="1:14" x14ac:dyDescent="0.25">
      <c r="A7">
        <v>6</v>
      </c>
      <c r="B7" t="s">
        <v>44</v>
      </c>
      <c r="C7" t="s">
        <v>8</v>
      </c>
      <c r="D7" t="s">
        <v>98</v>
      </c>
      <c r="E7" t="s">
        <v>45</v>
      </c>
      <c r="F7" t="s">
        <v>9</v>
      </c>
      <c r="G7" t="s">
        <v>11</v>
      </c>
      <c r="H7" t="s">
        <v>39</v>
      </c>
      <c r="I7">
        <v>4</v>
      </c>
      <c r="J7" t="s">
        <v>46</v>
      </c>
      <c r="K7">
        <f>I7*4</f>
        <v>16</v>
      </c>
      <c r="L7" t="s">
        <v>47</v>
      </c>
      <c r="M7" t="s">
        <v>48</v>
      </c>
      <c r="N7" t="s">
        <v>103</v>
      </c>
    </row>
    <row r="8" spans="1:14" x14ac:dyDescent="0.25">
      <c r="A8">
        <v>7</v>
      </c>
      <c r="B8" t="s">
        <v>49</v>
      </c>
      <c r="C8" t="s">
        <v>8</v>
      </c>
      <c r="D8" t="s">
        <v>98</v>
      </c>
      <c r="E8" t="s">
        <v>50</v>
      </c>
      <c r="F8" t="s">
        <v>9</v>
      </c>
      <c r="G8" t="s">
        <v>18</v>
      </c>
      <c r="H8" t="s">
        <v>51</v>
      </c>
      <c r="I8">
        <v>2</v>
      </c>
      <c r="J8" t="s">
        <v>52</v>
      </c>
      <c r="K8">
        <f>24</f>
        <v>24</v>
      </c>
      <c r="L8" s="1" t="s">
        <v>53</v>
      </c>
      <c r="M8" t="s">
        <v>54</v>
      </c>
      <c r="N8" s="4"/>
    </row>
    <row r="9" spans="1:14" x14ac:dyDescent="0.25">
      <c r="A9">
        <v>8</v>
      </c>
      <c r="B9" t="s">
        <v>55</v>
      </c>
      <c r="C9" t="s">
        <v>8</v>
      </c>
      <c r="D9" t="s">
        <v>98</v>
      </c>
      <c r="E9" t="s">
        <v>12</v>
      </c>
      <c r="F9" t="s">
        <v>56</v>
      </c>
      <c r="G9" t="s">
        <v>11</v>
      </c>
      <c r="H9" t="s">
        <v>57</v>
      </c>
      <c r="I9">
        <v>3</v>
      </c>
      <c r="J9" t="s">
        <v>58</v>
      </c>
      <c r="K9">
        <f>29</f>
        <v>29</v>
      </c>
      <c r="L9" s="1" t="s">
        <v>59</v>
      </c>
      <c r="M9" t="s">
        <v>54</v>
      </c>
      <c r="N9" t="s">
        <v>105</v>
      </c>
    </row>
    <row r="10" spans="1:14" x14ac:dyDescent="0.25">
      <c r="A10">
        <v>9</v>
      </c>
      <c r="B10" t="s">
        <v>60</v>
      </c>
      <c r="C10" t="s">
        <v>8</v>
      </c>
      <c r="D10" t="s">
        <v>98</v>
      </c>
      <c r="E10" t="s">
        <v>61</v>
      </c>
      <c r="F10" t="s">
        <v>56</v>
      </c>
      <c r="G10" t="s">
        <v>11</v>
      </c>
      <c r="H10" t="s">
        <v>62</v>
      </c>
      <c r="I10">
        <v>7</v>
      </c>
      <c r="J10" t="s">
        <v>106</v>
      </c>
      <c r="K10">
        <v>24</v>
      </c>
      <c r="L10" s="1" t="s">
        <v>63</v>
      </c>
      <c r="N10" t="s">
        <v>64</v>
      </c>
    </row>
    <row r="11" spans="1:14" x14ac:dyDescent="0.25">
      <c r="A11">
        <v>10</v>
      </c>
      <c r="B11" t="s">
        <v>65</v>
      </c>
      <c r="C11" t="s">
        <v>8</v>
      </c>
      <c r="D11" t="s">
        <v>98</v>
      </c>
      <c r="E11" t="s">
        <v>67</v>
      </c>
      <c r="F11" t="s">
        <v>56</v>
      </c>
      <c r="G11" t="s">
        <v>11</v>
      </c>
      <c r="H11" t="s">
        <v>66</v>
      </c>
      <c r="I11">
        <v>2</v>
      </c>
      <c r="J11" t="s">
        <v>68</v>
      </c>
      <c r="K11">
        <v>33</v>
      </c>
      <c r="L11" s="1" t="s">
        <v>69</v>
      </c>
      <c r="M11" t="s">
        <v>70</v>
      </c>
    </row>
    <row r="12" spans="1:14" x14ac:dyDescent="0.25">
      <c r="A12">
        <v>11</v>
      </c>
      <c r="B12" t="s">
        <v>72</v>
      </c>
      <c r="C12" t="s">
        <v>8</v>
      </c>
      <c r="D12" t="s">
        <v>98</v>
      </c>
      <c r="E12" t="s">
        <v>71</v>
      </c>
      <c r="F12" t="s">
        <v>56</v>
      </c>
      <c r="G12" t="s">
        <v>18</v>
      </c>
      <c r="H12" t="s">
        <v>73</v>
      </c>
      <c r="I12">
        <v>2</v>
      </c>
      <c r="J12" t="s">
        <v>74</v>
      </c>
      <c r="K12">
        <f>9</f>
        <v>9</v>
      </c>
      <c r="L12" s="1" t="s">
        <v>75</v>
      </c>
    </row>
    <row r="13" spans="1:14" x14ac:dyDescent="0.25">
      <c r="A13">
        <v>12</v>
      </c>
      <c r="B13" t="s">
        <v>76</v>
      </c>
      <c r="C13" t="s">
        <v>8</v>
      </c>
      <c r="D13" t="s">
        <v>98</v>
      </c>
      <c r="E13" t="s">
        <v>31</v>
      </c>
      <c r="F13" t="s">
        <v>9</v>
      </c>
      <c r="G13" t="s">
        <v>18</v>
      </c>
      <c r="H13" t="s">
        <v>77</v>
      </c>
      <c r="I13">
        <v>2</v>
      </c>
      <c r="J13" t="s">
        <v>74</v>
      </c>
      <c r="K13">
        <v>16</v>
      </c>
      <c r="L13" s="1" t="s">
        <v>79</v>
      </c>
      <c r="N13" t="s">
        <v>78</v>
      </c>
    </row>
    <row r="14" spans="1:14" x14ac:dyDescent="0.25">
      <c r="A14">
        <v>13</v>
      </c>
      <c r="B14" t="s">
        <v>82</v>
      </c>
      <c r="C14" t="s">
        <v>8</v>
      </c>
      <c r="D14" t="s">
        <v>98</v>
      </c>
      <c r="E14" t="s">
        <v>50</v>
      </c>
      <c r="F14" t="s">
        <v>9</v>
      </c>
      <c r="G14" t="s">
        <v>11</v>
      </c>
      <c r="H14" t="s">
        <v>83</v>
      </c>
      <c r="I14">
        <v>4</v>
      </c>
      <c r="J14" t="s">
        <v>84</v>
      </c>
      <c r="K14">
        <f>8*4</f>
        <v>32</v>
      </c>
      <c r="L14" s="1" t="s">
        <v>80</v>
      </c>
      <c r="N14" t="s">
        <v>81</v>
      </c>
    </row>
    <row r="15" spans="1:14" x14ac:dyDescent="0.25">
      <c r="A15">
        <v>14</v>
      </c>
      <c r="B15" t="s">
        <v>85</v>
      </c>
      <c r="C15" t="s">
        <v>8</v>
      </c>
      <c r="D15" t="s">
        <v>98</v>
      </c>
      <c r="E15" t="s">
        <v>67</v>
      </c>
      <c r="F15" t="s">
        <v>9</v>
      </c>
      <c r="G15" t="s">
        <v>11</v>
      </c>
      <c r="H15" t="s">
        <v>86</v>
      </c>
      <c r="I15">
        <v>2</v>
      </c>
      <c r="J15" t="s">
        <v>87</v>
      </c>
      <c r="K15">
        <v>10</v>
      </c>
      <c r="L15" s="1" t="s">
        <v>100</v>
      </c>
      <c r="N15" t="s">
        <v>104</v>
      </c>
    </row>
    <row r="16" spans="1:14" x14ac:dyDescent="0.25">
      <c r="A16">
        <v>15</v>
      </c>
      <c r="B16" t="s">
        <v>107</v>
      </c>
      <c r="C16" t="s">
        <v>8</v>
      </c>
      <c r="D16" t="s">
        <v>98</v>
      </c>
      <c r="E16" t="s">
        <v>108</v>
      </c>
      <c r="F16" t="s">
        <v>9</v>
      </c>
      <c r="G16" t="s">
        <v>11</v>
      </c>
      <c r="H16" t="s">
        <v>77</v>
      </c>
      <c r="I16">
        <v>3</v>
      </c>
      <c r="J16" t="s">
        <v>109</v>
      </c>
      <c r="K16">
        <v>9</v>
      </c>
      <c r="L16" s="1" t="s">
        <v>47</v>
      </c>
    </row>
    <row r="17" spans="1:14" x14ac:dyDescent="0.25">
      <c r="A17">
        <v>16</v>
      </c>
      <c r="B17" t="s">
        <v>110</v>
      </c>
      <c r="C17" t="s">
        <v>8</v>
      </c>
      <c r="D17" t="s">
        <v>98</v>
      </c>
      <c r="E17" t="s">
        <v>31</v>
      </c>
      <c r="F17" t="s">
        <v>9</v>
      </c>
      <c r="G17" t="s">
        <v>11</v>
      </c>
      <c r="H17" t="s">
        <v>111</v>
      </c>
      <c r="I17">
        <v>2</v>
      </c>
      <c r="J17" t="s">
        <v>112</v>
      </c>
      <c r="K17">
        <v>46</v>
      </c>
      <c r="L17" s="1" t="s">
        <v>113</v>
      </c>
    </row>
    <row r="18" spans="1:14" x14ac:dyDescent="0.25">
      <c r="A18">
        <v>17</v>
      </c>
      <c r="B18" t="s">
        <v>114</v>
      </c>
      <c r="C18" t="s">
        <v>8</v>
      </c>
      <c r="D18" t="s">
        <v>98</v>
      </c>
      <c r="E18" t="s">
        <v>71</v>
      </c>
      <c r="F18" t="s">
        <v>9</v>
      </c>
      <c r="G18" t="s">
        <v>11</v>
      </c>
      <c r="H18" t="s">
        <v>115</v>
      </c>
      <c r="I18">
        <v>2</v>
      </c>
      <c r="J18" t="s">
        <v>116</v>
      </c>
      <c r="K18">
        <v>6</v>
      </c>
      <c r="L18" s="1" t="s">
        <v>117</v>
      </c>
    </row>
    <row r="19" spans="1:14" x14ac:dyDescent="0.25">
      <c r="A19">
        <v>18</v>
      </c>
      <c r="B19" t="s">
        <v>118</v>
      </c>
      <c r="C19" t="s">
        <v>8</v>
      </c>
      <c r="D19" t="s">
        <v>98</v>
      </c>
      <c r="E19" t="s">
        <v>31</v>
      </c>
      <c r="F19" t="s">
        <v>9</v>
      </c>
      <c r="G19" t="s">
        <v>11</v>
      </c>
      <c r="H19" t="s">
        <v>39</v>
      </c>
      <c r="I19">
        <v>3</v>
      </c>
      <c r="J19" t="s">
        <v>119</v>
      </c>
      <c r="K19">
        <f>I19*4</f>
        <v>12</v>
      </c>
      <c r="L19" t="s">
        <v>47</v>
      </c>
      <c r="N19" t="s">
        <v>120</v>
      </c>
    </row>
    <row r="20" spans="1:14" x14ac:dyDescent="0.25">
      <c r="A20">
        <v>19</v>
      </c>
      <c r="B20" t="s">
        <v>121</v>
      </c>
      <c r="C20" t="s">
        <v>8</v>
      </c>
      <c r="D20" t="s">
        <v>98</v>
      </c>
      <c r="E20" t="s">
        <v>122</v>
      </c>
      <c r="F20" t="s">
        <v>9</v>
      </c>
      <c r="G20" t="s">
        <v>11</v>
      </c>
      <c r="H20" t="s">
        <v>39</v>
      </c>
      <c r="I20">
        <v>2</v>
      </c>
      <c r="J20" t="s">
        <v>123</v>
      </c>
      <c r="K20">
        <f>6</f>
        <v>6</v>
      </c>
      <c r="L20" s="1" t="s">
        <v>124</v>
      </c>
      <c r="N20" t="s">
        <v>125</v>
      </c>
    </row>
    <row r="21" spans="1:14" x14ac:dyDescent="0.25">
      <c r="A21">
        <v>20</v>
      </c>
      <c r="B21" t="s">
        <v>164</v>
      </c>
      <c r="C21" t="s">
        <v>8</v>
      </c>
      <c r="D21" t="s">
        <v>98</v>
      </c>
      <c r="E21" t="s">
        <v>33</v>
      </c>
      <c r="F21" t="s">
        <v>9</v>
      </c>
      <c r="G21" t="s">
        <v>160</v>
      </c>
      <c r="H21" t="s">
        <v>39</v>
      </c>
      <c r="I21">
        <v>8</v>
      </c>
      <c r="J21" t="s">
        <v>166</v>
      </c>
      <c r="K21">
        <f>I21*4</f>
        <v>32</v>
      </c>
      <c r="L21" s="1" t="s">
        <v>163</v>
      </c>
      <c r="N21" t="s">
        <v>165</v>
      </c>
    </row>
    <row r="22" spans="1:14" x14ac:dyDescent="0.25">
      <c r="A22">
        <v>21</v>
      </c>
      <c r="B22" t="s">
        <v>129</v>
      </c>
      <c r="C22" t="s">
        <v>8</v>
      </c>
      <c r="D22" t="s">
        <v>99</v>
      </c>
      <c r="E22" t="s">
        <v>130</v>
      </c>
      <c r="F22" t="s">
        <v>131</v>
      </c>
      <c r="G22" t="s">
        <v>18</v>
      </c>
      <c r="H22" t="s">
        <v>132</v>
      </c>
      <c r="I22">
        <v>2</v>
      </c>
      <c r="J22" t="s">
        <v>133</v>
      </c>
      <c r="K22">
        <f>I22*11</f>
        <v>22</v>
      </c>
      <c r="L22" t="s">
        <v>47</v>
      </c>
      <c r="M22" t="s">
        <v>134</v>
      </c>
    </row>
    <row r="23" spans="1:14" x14ac:dyDescent="0.25">
      <c r="A23">
        <v>22</v>
      </c>
      <c r="B23" t="s">
        <v>135</v>
      </c>
      <c r="C23" t="s">
        <v>8</v>
      </c>
      <c r="D23" t="s">
        <v>99</v>
      </c>
      <c r="E23" t="s">
        <v>122</v>
      </c>
      <c r="F23" t="s">
        <v>131</v>
      </c>
      <c r="G23" t="s">
        <v>11</v>
      </c>
      <c r="H23" t="s">
        <v>136</v>
      </c>
      <c r="I23">
        <v>4</v>
      </c>
      <c r="J23" t="s">
        <v>137</v>
      </c>
      <c r="K23">
        <f>19*2+16*2+1</f>
        <v>71</v>
      </c>
      <c r="L23" t="s">
        <v>47</v>
      </c>
      <c r="N23" t="s">
        <v>138</v>
      </c>
    </row>
    <row r="24" spans="1:14" x14ac:dyDescent="0.25">
      <c r="A24">
        <v>23</v>
      </c>
      <c r="B24" t="s">
        <v>139</v>
      </c>
      <c r="C24" t="s">
        <v>8</v>
      </c>
      <c r="D24" t="s">
        <v>99</v>
      </c>
      <c r="E24" t="s">
        <v>122</v>
      </c>
      <c r="F24" t="s">
        <v>131</v>
      </c>
      <c r="G24" t="s">
        <v>11</v>
      </c>
      <c r="H24" t="s">
        <v>115</v>
      </c>
      <c r="I24">
        <f>2</f>
        <v>2</v>
      </c>
      <c r="J24" t="s">
        <v>140</v>
      </c>
      <c r="K24">
        <f>20</f>
        <v>20</v>
      </c>
      <c r="L24" s="1" t="s">
        <v>141</v>
      </c>
    </row>
    <row r="25" spans="1:14" x14ac:dyDescent="0.25">
      <c r="A25">
        <v>24</v>
      </c>
      <c r="B25" t="s">
        <v>142</v>
      </c>
      <c r="C25" t="s">
        <v>8</v>
      </c>
      <c r="D25" t="s">
        <v>99</v>
      </c>
      <c r="E25" t="s">
        <v>143</v>
      </c>
      <c r="F25" t="s">
        <v>131</v>
      </c>
      <c r="G25" t="s">
        <v>11</v>
      </c>
      <c r="H25" t="s">
        <v>144</v>
      </c>
      <c r="I25">
        <v>3</v>
      </c>
      <c r="J25" t="s">
        <v>145</v>
      </c>
      <c r="K25">
        <v>46</v>
      </c>
      <c r="L25" t="s">
        <v>47</v>
      </c>
    </row>
    <row r="26" spans="1:14" x14ac:dyDescent="0.25">
      <c r="A26">
        <v>25</v>
      </c>
      <c r="B26" t="s">
        <v>146</v>
      </c>
      <c r="C26" t="s">
        <v>8</v>
      </c>
      <c r="D26" t="s">
        <v>99</v>
      </c>
      <c r="E26" t="s">
        <v>61</v>
      </c>
      <c r="F26" t="s">
        <v>131</v>
      </c>
      <c r="G26" t="s">
        <v>11</v>
      </c>
      <c r="H26" t="s">
        <v>115</v>
      </c>
      <c r="I26">
        <v>2</v>
      </c>
      <c r="J26" t="s">
        <v>147</v>
      </c>
      <c r="K26">
        <v>22</v>
      </c>
      <c r="L26" t="s">
        <v>47</v>
      </c>
    </row>
    <row r="27" spans="1:14" x14ac:dyDescent="0.25">
      <c r="A27">
        <v>26</v>
      </c>
      <c r="B27" t="s">
        <v>148</v>
      </c>
      <c r="C27" t="s">
        <v>8</v>
      </c>
      <c r="D27" t="s">
        <v>99</v>
      </c>
      <c r="E27" t="s">
        <v>45</v>
      </c>
      <c r="F27" t="s">
        <v>131</v>
      </c>
      <c r="G27" t="s">
        <v>18</v>
      </c>
      <c r="H27" t="s">
        <v>39</v>
      </c>
      <c r="I27">
        <v>5</v>
      </c>
      <c r="J27" t="s">
        <v>149</v>
      </c>
      <c r="K27">
        <f>I27*4</f>
        <v>20</v>
      </c>
      <c r="L27" t="s">
        <v>47</v>
      </c>
    </row>
    <row r="28" spans="1:14" x14ac:dyDescent="0.25">
      <c r="A28">
        <v>27</v>
      </c>
      <c r="B28" t="s">
        <v>150</v>
      </c>
      <c r="C28" t="s">
        <v>8</v>
      </c>
      <c r="D28" t="s">
        <v>99</v>
      </c>
      <c r="E28" t="s">
        <v>45</v>
      </c>
      <c r="F28" t="s">
        <v>131</v>
      </c>
      <c r="G28" t="s">
        <v>18</v>
      </c>
      <c r="H28" t="s">
        <v>132</v>
      </c>
      <c r="I28">
        <v>3</v>
      </c>
      <c r="J28" t="s">
        <v>151</v>
      </c>
      <c r="K28">
        <f>I28*3</f>
        <v>9</v>
      </c>
      <c r="L28" s="1" t="s">
        <v>152</v>
      </c>
    </row>
    <row r="29" spans="1:14" x14ac:dyDescent="0.25">
      <c r="A29">
        <v>28</v>
      </c>
      <c r="B29" t="s">
        <v>153</v>
      </c>
      <c r="C29" t="s">
        <v>8</v>
      </c>
      <c r="D29" t="s">
        <v>99</v>
      </c>
      <c r="E29" t="s">
        <v>67</v>
      </c>
      <c r="F29" t="s">
        <v>131</v>
      </c>
      <c r="G29" t="s">
        <v>11</v>
      </c>
      <c r="H29" t="s">
        <v>39</v>
      </c>
      <c r="I29">
        <v>4</v>
      </c>
      <c r="J29" t="s">
        <v>154</v>
      </c>
      <c r="K29">
        <f>I29*3</f>
        <v>12</v>
      </c>
      <c r="L29" t="s">
        <v>47</v>
      </c>
    </row>
    <row r="30" spans="1:14" x14ac:dyDescent="0.25">
      <c r="A30">
        <v>29</v>
      </c>
      <c r="B30" t="s">
        <v>155</v>
      </c>
      <c r="C30" t="s">
        <v>8</v>
      </c>
      <c r="D30" t="s">
        <v>99</v>
      </c>
      <c r="E30" t="s">
        <v>156</v>
      </c>
      <c r="F30" t="s">
        <v>131</v>
      </c>
      <c r="G30" t="s">
        <v>11</v>
      </c>
      <c r="H30" t="s">
        <v>39</v>
      </c>
      <c r="I30">
        <v>3</v>
      </c>
      <c r="J30" t="s">
        <v>157</v>
      </c>
      <c r="K30">
        <f>I30*4</f>
        <v>12</v>
      </c>
      <c r="L30" s="1" t="s">
        <v>158</v>
      </c>
    </row>
    <row r="31" spans="1:14" x14ac:dyDescent="0.25">
      <c r="A31">
        <v>30</v>
      </c>
      <c r="B31" t="s">
        <v>159</v>
      </c>
      <c r="C31" t="s">
        <v>8</v>
      </c>
      <c r="D31" t="s">
        <v>99</v>
      </c>
      <c r="E31" t="s">
        <v>161</v>
      </c>
      <c r="F31" t="s">
        <v>131</v>
      </c>
      <c r="G31" t="s">
        <v>160</v>
      </c>
      <c r="H31" t="s">
        <v>39</v>
      </c>
      <c r="I31">
        <v>4</v>
      </c>
      <c r="J31" t="s">
        <v>162</v>
      </c>
      <c r="K31">
        <f>I31*4</f>
        <v>16</v>
      </c>
      <c r="L31" s="1" t="s">
        <v>163</v>
      </c>
    </row>
    <row r="32" spans="1:14" x14ac:dyDescent="0.25">
      <c r="A32">
        <v>31</v>
      </c>
      <c r="B32" t="s">
        <v>167</v>
      </c>
      <c r="C32" t="s">
        <v>8</v>
      </c>
      <c r="D32" t="s">
        <v>99</v>
      </c>
      <c r="E32" t="s">
        <v>67</v>
      </c>
      <c r="F32" t="s">
        <v>131</v>
      </c>
      <c r="G32" t="s">
        <v>18</v>
      </c>
      <c r="H32" t="s">
        <v>168</v>
      </c>
      <c r="I32">
        <v>4</v>
      </c>
      <c r="J32" t="s">
        <v>169</v>
      </c>
      <c r="K32">
        <f>I32*4</f>
        <v>16</v>
      </c>
      <c r="L32" s="1" t="s">
        <v>170</v>
      </c>
      <c r="M32" t="s">
        <v>171</v>
      </c>
    </row>
    <row r="33" spans="1:14" x14ac:dyDescent="0.25">
      <c r="A33">
        <v>32</v>
      </c>
      <c r="B33" t="s">
        <v>172</v>
      </c>
      <c r="C33" t="s">
        <v>8</v>
      </c>
      <c r="D33" t="s">
        <v>99</v>
      </c>
      <c r="E33" t="s">
        <v>173</v>
      </c>
      <c r="F33" t="s">
        <v>131</v>
      </c>
      <c r="G33" t="s">
        <v>11</v>
      </c>
      <c r="H33" t="s">
        <v>39</v>
      </c>
      <c r="I33">
        <f>3</f>
        <v>3</v>
      </c>
      <c r="J33" t="s">
        <v>174</v>
      </c>
      <c r="K33">
        <f>I33*3</f>
        <v>9</v>
      </c>
      <c r="L33" s="1" t="s">
        <v>175</v>
      </c>
    </row>
    <row r="34" spans="1:14" x14ac:dyDescent="0.25">
      <c r="A34">
        <v>33</v>
      </c>
      <c r="B34" t="s">
        <v>176</v>
      </c>
      <c r="C34" t="s">
        <v>8</v>
      </c>
      <c r="D34" t="s">
        <v>99</v>
      </c>
      <c r="E34" t="s">
        <v>31</v>
      </c>
      <c r="F34" t="s">
        <v>131</v>
      </c>
      <c r="G34" t="s">
        <v>18</v>
      </c>
      <c r="H34" t="s">
        <v>177</v>
      </c>
      <c r="I34">
        <v>4</v>
      </c>
      <c r="J34" t="s">
        <v>178</v>
      </c>
      <c r="K34">
        <f>11</f>
        <v>11</v>
      </c>
      <c r="L34" s="1" t="s">
        <v>179</v>
      </c>
    </row>
    <row r="35" spans="1:14" x14ac:dyDescent="0.25">
      <c r="A35">
        <v>34</v>
      </c>
      <c r="B35" t="s">
        <v>180</v>
      </c>
      <c r="C35" t="s">
        <v>8</v>
      </c>
      <c r="D35" t="s">
        <v>99</v>
      </c>
      <c r="E35" t="s">
        <v>12</v>
      </c>
      <c r="F35" t="s">
        <v>131</v>
      </c>
      <c r="G35" t="s">
        <v>11</v>
      </c>
      <c r="H35" t="s">
        <v>181</v>
      </c>
      <c r="I35">
        <v>3</v>
      </c>
      <c r="J35" t="s">
        <v>182</v>
      </c>
      <c r="K35">
        <f>9</f>
        <v>9</v>
      </c>
      <c r="L35" t="s">
        <v>47</v>
      </c>
    </row>
    <row r="36" spans="1:14" x14ac:dyDescent="0.25">
      <c r="A36">
        <v>35</v>
      </c>
      <c r="B36" t="s">
        <v>183</v>
      </c>
      <c r="C36" t="s">
        <v>8</v>
      </c>
      <c r="D36" t="s">
        <v>99</v>
      </c>
      <c r="E36" t="s">
        <v>187</v>
      </c>
      <c r="F36" t="s">
        <v>131</v>
      </c>
      <c r="G36" t="s">
        <v>11</v>
      </c>
      <c r="H36" t="s">
        <v>186</v>
      </c>
      <c r="I36">
        <v>2</v>
      </c>
      <c r="J36" t="s">
        <v>184</v>
      </c>
      <c r="K36">
        <f>8</f>
        <v>8</v>
      </c>
      <c r="L36" s="1" t="s">
        <v>185</v>
      </c>
    </row>
    <row r="37" spans="1:14" x14ac:dyDescent="0.25">
      <c r="A37">
        <v>36</v>
      </c>
      <c r="B37" t="s">
        <v>188</v>
      </c>
      <c r="C37" t="s">
        <v>8</v>
      </c>
      <c r="D37" t="s">
        <v>99</v>
      </c>
      <c r="E37" t="s">
        <v>71</v>
      </c>
      <c r="F37" t="s">
        <v>131</v>
      </c>
      <c r="G37" t="s">
        <v>11</v>
      </c>
      <c r="H37" t="s">
        <v>136</v>
      </c>
      <c r="I37">
        <v>2</v>
      </c>
      <c r="J37" t="s">
        <v>189</v>
      </c>
      <c r="K37">
        <f>25*2</f>
        <v>50</v>
      </c>
      <c r="L37" s="1" t="s">
        <v>192</v>
      </c>
      <c r="M37" t="s">
        <v>190</v>
      </c>
      <c r="N37" t="s">
        <v>191</v>
      </c>
    </row>
    <row r="38" spans="1:14" x14ac:dyDescent="0.25">
      <c r="A38">
        <v>37</v>
      </c>
      <c r="B38" t="s">
        <v>193</v>
      </c>
      <c r="C38" t="s">
        <v>8</v>
      </c>
      <c r="D38" t="s">
        <v>99</v>
      </c>
      <c r="E38" t="s">
        <v>31</v>
      </c>
      <c r="F38" t="s">
        <v>131</v>
      </c>
      <c r="G38" t="s">
        <v>18</v>
      </c>
      <c r="H38" t="s">
        <v>39</v>
      </c>
      <c r="I38">
        <v>2</v>
      </c>
      <c r="J38" t="s">
        <v>194</v>
      </c>
      <c r="K38">
        <f>6</f>
        <v>6</v>
      </c>
      <c r="L38" s="1" t="s">
        <v>195</v>
      </c>
    </row>
    <row r="39" spans="1:14" x14ac:dyDescent="0.25">
      <c r="A39">
        <v>38</v>
      </c>
      <c r="B39" t="s">
        <v>196</v>
      </c>
      <c r="C39" t="s">
        <v>8</v>
      </c>
      <c r="D39" t="s">
        <v>99</v>
      </c>
      <c r="E39" t="s">
        <v>197</v>
      </c>
      <c r="F39" t="s">
        <v>131</v>
      </c>
      <c r="G39" t="s">
        <v>11</v>
      </c>
      <c r="H39" t="s">
        <v>198</v>
      </c>
      <c r="I39">
        <v>4</v>
      </c>
      <c r="J39" t="s">
        <v>199</v>
      </c>
      <c r="K39">
        <f>I39*3</f>
        <v>12</v>
      </c>
      <c r="L39" s="1" t="s">
        <v>200</v>
      </c>
    </row>
    <row r="40" spans="1:14" x14ac:dyDescent="0.25">
      <c r="A40">
        <v>39</v>
      </c>
      <c r="B40" t="s">
        <v>201</v>
      </c>
      <c r="C40" t="s">
        <v>8</v>
      </c>
      <c r="D40" t="s">
        <v>99</v>
      </c>
      <c r="E40" t="s">
        <v>61</v>
      </c>
      <c r="F40" t="s">
        <v>131</v>
      </c>
      <c r="G40" t="s">
        <v>11</v>
      </c>
      <c r="H40" t="s">
        <v>144</v>
      </c>
      <c r="I40">
        <v>4</v>
      </c>
      <c r="J40" t="s">
        <v>202</v>
      </c>
      <c r="K40">
        <f>I40*10</f>
        <v>40</v>
      </c>
      <c r="L40" s="1" t="s">
        <v>203</v>
      </c>
      <c r="M40" t="s">
        <v>204</v>
      </c>
    </row>
    <row r="41" spans="1:14" x14ac:dyDescent="0.25">
      <c r="A41">
        <v>40</v>
      </c>
      <c r="B41" t="s">
        <v>205</v>
      </c>
      <c r="C41" t="s">
        <v>8</v>
      </c>
      <c r="D41" t="s">
        <v>99</v>
      </c>
      <c r="E41" t="s">
        <v>67</v>
      </c>
      <c r="F41" t="s">
        <v>131</v>
      </c>
      <c r="G41" t="s">
        <v>18</v>
      </c>
      <c r="H41" t="s">
        <v>77</v>
      </c>
      <c r="I41">
        <v>4</v>
      </c>
      <c r="J41" t="s">
        <v>206</v>
      </c>
      <c r="K41">
        <f>24</f>
        <v>24</v>
      </c>
      <c r="L41" s="1" t="s">
        <v>207</v>
      </c>
      <c r="M41" t="s">
        <v>208</v>
      </c>
      <c r="N41" t="s">
        <v>209</v>
      </c>
    </row>
    <row r="42" spans="1:14" x14ac:dyDescent="0.25">
      <c r="A42">
        <v>41</v>
      </c>
      <c r="B42" t="s">
        <v>128</v>
      </c>
      <c r="C42" t="s">
        <v>8</v>
      </c>
      <c r="D42" t="s">
        <v>98</v>
      </c>
      <c r="E42" t="s">
        <v>122</v>
      </c>
      <c r="F42" t="s">
        <v>9</v>
      </c>
      <c r="G42" t="s">
        <v>11</v>
      </c>
      <c r="H42" t="s">
        <v>39</v>
      </c>
      <c r="I42">
        <v>2</v>
      </c>
      <c r="J42" t="s">
        <v>127</v>
      </c>
      <c r="K42">
        <f>6</f>
        <v>6</v>
      </c>
      <c r="L42" s="1" t="s">
        <v>124</v>
      </c>
      <c r="N42" t="s">
        <v>126</v>
      </c>
    </row>
    <row r="43" spans="1:14" x14ac:dyDescent="0.25">
      <c r="A43">
        <v>42</v>
      </c>
      <c r="B43" t="s">
        <v>210</v>
      </c>
      <c r="C43" t="s">
        <v>8</v>
      </c>
      <c r="D43" t="s">
        <v>99</v>
      </c>
      <c r="E43" t="s">
        <v>211</v>
      </c>
      <c r="F43" t="s">
        <v>131</v>
      </c>
      <c r="G43" t="s">
        <v>11</v>
      </c>
      <c r="H43" t="s">
        <v>115</v>
      </c>
      <c r="I43">
        <v>2</v>
      </c>
      <c r="J43" t="s">
        <v>212</v>
      </c>
      <c r="K43">
        <f>35</f>
        <v>35</v>
      </c>
      <c r="L43" s="1" t="s">
        <v>213</v>
      </c>
      <c r="M43" t="s">
        <v>214</v>
      </c>
    </row>
    <row r="44" spans="1:14" x14ac:dyDescent="0.25">
      <c r="A44">
        <v>43</v>
      </c>
      <c r="B44" t="s">
        <v>215</v>
      </c>
      <c r="C44" t="s">
        <v>8</v>
      </c>
      <c r="D44" t="s">
        <v>99</v>
      </c>
      <c r="E44" t="s">
        <v>20</v>
      </c>
      <c r="F44" t="s">
        <v>131</v>
      </c>
      <c r="G44" t="s">
        <v>11</v>
      </c>
      <c r="H44" t="s">
        <v>216</v>
      </c>
      <c r="I44">
        <v>3</v>
      </c>
      <c r="J44" t="s">
        <v>217</v>
      </c>
      <c r="K44">
        <v>29</v>
      </c>
      <c r="L44" s="1" t="s">
        <v>218</v>
      </c>
      <c r="M44" t="s">
        <v>219</v>
      </c>
    </row>
    <row r="45" spans="1:14" x14ac:dyDescent="0.25">
      <c r="A45">
        <v>44</v>
      </c>
      <c r="B45" t="s">
        <v>220</v>
      </c>
      <c r="C45" t="s">
        <v>8</v>
      </c>
      <c r="D45" t="s">
        <v>99</v>
      </c>
      <c r="E45" t="s">
        <v>20</v>
      </c>
      <c r="F45" t="s">
        <v>131</v>
      </c>
      <c r="G45" t="s">
        <v>11</v>
      </c>
      <c r="H45" t="s">
        <v>221</v>
      </c>
      <c r="I45">
        <v>3</v>
      </c>
      <c r="J45" t="s">
        <v>217</v>
      </c>
      <c r="K45">
        <v>28</v>
      </c>
      <c r="L45" s="1" t="s">
        <v>218</v>
      </c>
      <c r="M45" t="s">
        <v>222</v>
      </c>
    </row>
    <row r="46" spans="1:14" x14ac:dyDescent="0.25">
      <c r="A46">
        <v>45</v>
      </c>
      <c r="B46" t="s">
        <v>223</v>
      </c>
      <c r="C46" t="s">
        <v>8</v>
      </c>
      <c r="D46" t="s">
        <v>99</v>
      </c>
      <c r="E46" t="s">
        <v>130</v>
      </c>
      <c r="F46" t="s">
        <v>131</v>
      </c>
      <c r="G46" t="s">
        <v>11</v>
      </c>
      <c r="H46" t="s">
        <v>39</v>
      </c>
      <c r="I46">
        <v>6</v>
      </c>
      <c r="J46" t="s">
        <v>224</v>
      </c>
      <c r="K46">
        <f>6*3</f>
        <v>18</v>
      </c>
      <c r="L46" s="1" t="s">
        <v>225</v>
      </c>
      <c r="M46" t="s">
        <v>226</v>
      </c>
    </row>
    <row r="47" spans="1:14" x14ac:dyDescent="0.25">
      <c r="A47">
        <v>46</v>
      </c>
      <c r="B47" t="s">
        <v>227</v>
      </c>
      <c r="C47" t="s">
        <v>8</v>
      </c>
      <c r="D47" t="s">
        <v>99</v>
      </c>
      <c r="E47" t="s">
        <v>20</v>
      </c>
      <c r="F47" t="s">
        <v>131</v>
      </c>
      <c r="G47" t="s">
        <v>11</v>
      </c>
      <c r="H47" t="s">
        <v>228</v>
      </c>
      <c r="I47">
        <v>2</v>
      </c>
      <c r="J47" t="s">
        <v>229</v>
      </c>
      <c r="K47">
        <v>21</v>
      </c>
      <c r="L47" s="1" t="s">
        <v>230</v>
      </c>
      <c r="M47" t="s">
        <v>231</v>
      </c>
    </row>
    <row r="48" spans="1:14" x14ac:dyDescent="0.25">
      <c r="A48">
        <v>47</v>
      </c>
      <c r="B48" t="s">
        <v>232</v>
      </c>
      <c r="C48" t="s">
        <v>8</v>
      </c>
      <c r="D48" t="s">
        <v>99</v>
      </c>
      <c r="E48" t="s">
        <v>233</v>
      </c>
      <c r="F48" t="s">
        <v>131</v>
      </c>
      <c r="G48" t="s">
        <v>18</v>
      </c>
      <c r="H48" t="s">
        <v>234</v>
      </c>
      <c r="I48">
        <v>2</v>
      </c>
      <c r="J48" t="s">
        <v>74</v>
      </c>
      <c r="K48">
        <v>8</v>
      </c>
      <c r="L48" s="1" t="s">
        <v>235</v>
      </c>
    </row>
    <row r="49" spans="1:13" x14ac:dyDescent="0.25">
      <c r="A49">
        <v>48</v>
      </c>
      <c r="B49" t="s">
        <v>236</v>
      </c>
      <c r="C49" t="s">
        <v>8</v>
      </c>
      <c r="D49" t="s">
        <v>99</v>
      </c>
      <c r="E49" t="s">
        <v>45</v>
      </c>
      <c r="F49" t="s">
        <v>131</v>
      </c>
      <c r="G49" t="s">
        <v>11</v>
      </c>
      <c r="H49" t="s">
        <v>39</v>
      </c>
      <c r="I49">
        <v>6</v>
      </c>
      <c r="J49" t="s">
        <v>237</v>
      </c>
      <c r="K49">
        <f>I49*4</f>
        <v>24</v>
      </c>
      <c r="L49" s="1" t="s">
        <v>238</v>
      </c>
      <c r="M49" t="s">
        <v>239</v>
      </c>
    </row>
    <row r="50" spans="1:13" x14ac:dyDescent="0.25">
      <c r="A50">
        <v>49</v>
      </c>
      <c r="B50" t="s">
        <v>240</v>
      </c>
      <c r="C50" t="s">
        <v>8</v>
      </c>
      <c r="D50" t="s">
        <v>99</v>
      </c>
      <c r="E50" t="s">
        <v>20</v>
      </c>
      <c r="F50" t="s">
        <v>131</v>
      </c>
      <c r="G50" t="s">
        <v>18</v>
      </c>
      <c r="H50" t="s">
        <v>241</v>
      </c>
      <c r="I50">
        <f>6</f>
        <v>6</v>
      </c>
      <c r="J50" t="s">
        <v>242</v>
      </c>
      <c r="K50">
        <f>I50*3</f>
        <v>18</v>
      </c>
      <c r="L50" s="1" t="s">
        <v>243</v>
      </c>
      <c r="M50" t="s">
        <v>244</v>
      </c>
    </row>
    <row r="51" spans="1:13" x14ac:dyDescent="0.25">
      <c r="A51">
        <v>50</v>
      </c>
      <c r="B51" t="s">
        <v>245</v>
      </c>
      <c r="C51" t="s">
        <v>8</v>
      </c>
      <c r="D51" t="s">
        <v>99</v>
      </c>
      <c r="E51" t="s">
        <v>130</v>
      </c>
      <c r="F51" t="s">
        <v>131</v>
      </c>
      <c r="G51" t="s">
        <v>11</v>
      </c>
      <c r="H51" t="s">
        <v>39</v>
      </c>
      <c r="I51">
        <f>2</f>
        <v>2</v>
      </c>
      <c r="J51" t="s">
        <v>246</v>
      </c>
      <c r="K51">
        <f>I51*3</f>
        <v>6</v>
      </c>
      <c r="L51" s="1" t="s">
        <v>225</v>
      </c>
      <c r="M51" t="s">
        <v>247</v>
      </c>
    </row>
    <row r="52" spans="1:13" x14ac:dyDescent="0.25">
      <c r="A52">
        <v>51</v>
      </c>
      <c r="B52" t="s">
        <v>248</v>
      </c>
      <c r="C52" t="s">
        <v>8</v>
      </c>
      <c r="D52" t="s">
        <v>99</v>
      </c>
      <c r="E52" t="s">
        <v>20</v>
      </c>
      <c r="F52" t="s">
        <v>131</v>
      </c>
      <c r="G52" t="s">
        <v>18</v>
      </c>
      <c r="H52" t="s">
        <v>241</v>
      </c>
      <c r="I52">
        <v>2</v>
      </c>
      <c r="J52" t="s">
        <v>249</v>
      </c>
      <c r="K52">
        <v>6</v>
      </c>
      <c r="L52" t="s">
        <v>47</v>
      </c>
      <c r="M52" t="s">
        <v>250</v>
      </c>
    </row>
    <row r="53" spans="1:13" x14ac:dyDescent="0.25">
      <c r="A53">
        <v>52</v>
      </c>
      <c r="C53" t="s">
        <v>8</v>
      </c>
      <c r="D53" t="s">
        <v>99</v>
      </c>
    </row>
    <row r="54" spans="1:13" x14ac:dyDescent="0.25">
      <c r="A54">
        <v>53</v>
      </c>
      <c r="C54" t="s">
        <v>8</v>
      </c>
      <c r="D54" t="s">
        <v>99</v>
      </c>
    </row>
    <row r="55" spans="1:13" x14ac:dyDescent="0.25">
      <c r="A55">
        <v>54</v>
      </c>
      <c r="C55" t="s">
        <v>8</v>
      </c>
      <c r="D55" t="s">
        <v>99</v>
      </c>
    </row>
    <row r="56" spans="1:13" x14ac:dyDescent="0.25">
      <c r="A56">
        <v>55</v>
      </c>
      <c r="C56" t="s">
        <v>8</v>
      </c>
      <c r="D56" t="s">
        <v>99</v>
      </c>
    </row>
    <row r="57" spans="1:13" x14ac:dyDescent="0.25">
      <c r="A57">
        <v>56</v>
      </c>
      <c r="C57" t="s">
        <v>8</v>
      </c>
      <c r="D57" t="s">
        <v>99</v>
      </c>
    </row>
    <row r="58" spans="1:13" x14ac:dyDescent="0.25">
      <c r="A58">
        <v>57</v>
      </c>
      <c r="C58" t="s">
        <v>8</v>
      </c>
      <c r="D58" t="s">
        <v>99</v>
      </c>
    </row>
    <row r="59" spans="1:13" x14ac:dyDescent="0.25">
      <c r="A59">
        <v>58</v>
      </c>
      <c r="C59" t="s">
        <v>8</v>
      </c>
      <c r="D59" t="s">
        <v>99</v>
      </c>
    </row>
    <row r="60" spans="1:13" x14ac:dyDescent="0.25">
      <c r="A60">
        <v>59</v>
      </c>
      <c r="C60" t="s">
        <v>8</v>
      </c>
      <c r="D60" t="s">
        <v>99</v>
      </c>
    </row>
    <row r="61" spans="1:13" x14ac:dyDescent="0.25">
      <c r="A61">
        <v>60</v>
      </c>
      <c r="C61" t="s">
        <v>8</v>
      </c>
      <c r="D61" t="s">
        <v>99</v>
      </c>
    </row>
  </sheetData>
  <hyperlinks>
    <hyperlink ref="L4" r:id="rId1" display="https://doi.org/10.1016/j.stemcr.2022.04.003" xr:uid="{A58B2C92-8135-4993-80B6-E01F7C4414D7}"/>
    <hyperlink ref="L2" r:id="rId2" xr:uid="{ECF580C4-849C-4561-A481-5430106E5AFC}"/>
    <hyperlink ref="L3" r:id="rId3" xr:uid="{56A4D8A2-3CDC-4C94-BF7F-C9AE6847D147}"/>
    <hyperlink ref="L5" r:id="rId4" location="Sec9" xr:uid="{7F005011-D3D0-40EB-9669-AC279104458C}"/>
    <hyperlink ref="L6" r:id="rId5" xr:uid="{A191089C-F484-4E45-8BCC-52AA445AD4F5}"/>
    <hyperlink ref="L8" r:id="rId6" xr:uid="{C5BC7455-0EFA-4A23-B621-721339B38A6F}"/>
    <hyperlink ref="L9" r:id="rId7" xr:uid="{B7CED74B-1E74-43D2-A36B-EAB3B1E178BC}"/>
    <hyperlink ref="L10" r:id="rId8" location="sd" xr:uid="{52E8DACA-8996-4096-ACEA-71C8C40EA025}"/>
    <hyperlink ref="L11" r:id="rId9" xr:uid="{27478232-A532-4DCE-809B-5DD99BA4CE49}"/>
    <hyperlink ref="L12" r:id="rId10" xr:uid="{50937FCB-E158-45DA-96E3-555511B96735}"/>
    <hyperlink ref="L13" r:id="rId11" location="Sec11" xr:uid="{EAAEE3D5-FD5F-4C5E-BEDE-E149007B61D7}"/>
    <hyperlink ref="L14" r:id="rId12" xr:uid="{1466ACE4-040B-4872-B3E7-CB073BC90CE4}"/>
    <hyperlink ref="L15" r:id="rId13" display="https://doi.org/10.1038/s42255-021-00420-9" xr:uid="{AA76EE2A-3D95-4B26-A3B2-D6961FCAA8B9}"/>
    <hyperlink ref="L17" r:id="rId14" xr:uid="{73C3C164-1B9E-424D-B497-0A5C1413062E}"/>
    <hyperlink ref="L18" r:id="rId15" xr:uid="{8E96941A-F27E-446D-BAAB-8817BA69407F}"/>
    <hyperlink ref="L20" r:id="rId16" xr:uid="{612CAC31-BDF9-4217-882E-04BA9D317851}"/>
    <hyperlink ref="L42" r:id="rId17" xr:uid="{A0AABACF-D49B-4ADE-969F-34674947E980}"/>
    <hyperlink ref="L24" r:id="rId18" xr:uid="{45029A78-EC32-4653-B2C0-8A1C6AB739CD}"/>
    <hyperlink ref="L28" r:id="rId19" xr:uid="{58E39B3E-0FD0-41D5-8918-94CB0DEBE92F}"/>
    <hyperlink ref="L30" r:id="rId20" xr:uid="{798BD1EC-17B3-4197-8EAE-486722AEADF1}"/>
    <hyperlink ref="L31" r:id="rId21" xr:uid="{AE40AA44-2798-47B6-B9FB-02DFCD819A98}"/>
    <hyperlink ref="L21" r:id="rId22" xr:uid="{812AD498-467D-4930-99B1-0BD72991EB74}"/>
    <hyperlink ref="L32" r:id="rId23" xr:uid="{0A4265F2-3C05-4E25-883C-F8A8F58C6D63}"/>
    <hyperlink ref="L33" r:id="rId24" xr:uid="{DBE6CDEE-1512-471E-91A3-29DE9DCD40F4}"/>
    <hyperlink ref="L34" r:id="rId25" xr:uid="{1530F3E7-5FB8-4C45-8815-BC53BEE62E5F}"/>
    <hyperlink ref="L36" r:id="rId26" xr:uid="{81A03F1A-4A0B-4C2D-947D-86D4D18A30FC}"/>
    <hyperlink ref="L37" r:id="rId27" xr:uid="{03A7BDDE-DDD3-4CE4-9A6A-3F28026978CD}"/>
    <hyperlink ref="L38" r:id="rId28" xr:uid="{97D5A0D0-4F73-4447-98D7-176FE36E7E9F}"/>
    <hyperlink ref="L39" r:id="rId29" xr:uid="{3FDDCA56-CB99-4846-8D3C-3F87979E1526}"/>
    <hyperlink ref="L40" r:id="rId30" xr:uid="{7859E8C3-2333-43D3-B478-A44FA49BB177}"/>
    <hyperlink ref="L41" r:id="rId31" xr:uid="{4AAB6572-69BF-4A8C-B9DD-0ECD744015A7}"/>
    <hyperlink ref="L43" r:id="rId32" xr:uid="{AEFB8F3B-EA1A-47CE-B2E9-52C8FEE30E73}"/>
    <hyperlink ref="L44" r:id="rId33" xr:uid="{CB2F7DF2-FC97-4B92-86B1-9479DA20F40F}"/>
    <hyperlink ref="L45" r:id="rId34" xr:uid="{256ADA76-DDF3-43D7-9FF6-3D06B3102F1B}"/>
    <hyperlink ref="L46" r:id="rId35" xr:uid="{8607D0FC-A3CA-4C2C-B9AF-EA3A5742473F}"/>
    <hyperlink ref="L47" r:id="rId36" xr:uid="{CC518961-8295-4994-A3DF-84ED80F14808}"/>
    <hyperlink ref="L48" r:id="rId37" xr:uid="{2FCAA5AF-4D5B-40D6-9710-958A63043040}"/>
    <hyperlink ref="L49" r:id="rId38" xr:uid="{AE407C0D-97C6-498B-BFB4-71C4936A1365}"/>
    <hyperlink ref="L50" r:id="rId39" xr:uid="{92FB0A8D-11DB-4567-8F9B-CF523A119E05}"/>
    <hyperlink ref="L51" r:id="rId40" xr:uid="{207EE6F5-656D-4A38-9817-F2A00ABFCEEE}"/>
  </hyperlinks>
  <pageMargins left="0.7" right="0.7" top="0.75" bottom="0.75" header="0.3" footer="0.3"/>
  <pageSetup paperSize="9" orientation="portrait"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O2"/>
  <sheetViews>
    <sheetView workbookViewId="0">
      <selection activeCell="A3" sqref="A3:XFD3"/>
    </sheetView>
  </sheetViews>
  <sheetFormatPr baseColWidth="10" defaultRowHeight="15" x14ac:dyDescent="0.25"/>
  <sheetData>
    <row r="1" spans="1:15" s="2" customFormat="1" ht="15.75" x14ac:dyDescent="0.25">
      <c r="A1" s="2" t="s">
        <v>43</v>
      </c>
      <c r="B1" s="2" t="s">
        <v>0</v>
      </c>
      <c r="C1" s="2" t="s">
        <v>1</v>
      </c>
      <c r="D1" s="2" t="s">
        <v>97</v>
      </c>
      <c r="E1" s="2" t="s">
        <v>94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25</v>
      </c>
      <c r="L1" s="2" t="s">
        <v>6</v>
      </c>
      <c r="M1" s="2" t="s">
        <v>13</v>
      </c>
      <c r="N1" s="2" t="s">
        <v>28</v>
      </c>
      <c r="O1" s="2" t="s">
        <v>21</v>
      </c>
    </row>
    <row r="2" spans="1:15" x14ac:dyDescent="0.25">
      <c r="A2">
        <v>15</v>
      </c>
      <c r="B2" t="s">
        <v>88</v>
      </c>
      <c r="C2" t="s">
        <v>8</v>
      </c>
      <c r="D2" t="s">
        <v>98</v>
      </c>
      <c r="E2" t="s">
        <v>95</v>
      </c>
      <c r="F2" t="s">
        <v>31</v>
      </c>
      <c r="G2" t="s">
        <v>89</v>
      </c>
      <c r="H2" t="s">
        <v>11</v>
      </c>
      <c r="I2" t="s">
        <v>90</v>
      </c>
      <c r="J2">
        <v>7</v>
      </c>
      <c r="K2" t="s">
        <v>91</v>
      </c>
      <c r="L2">
        <v>365</v>
      </c>
      <c r="M2" s="1" t="s">
        <v>96</v>
      </c>
      <c r="N2" t="s">
        <v>92</v>
      </c>
      <c r="O2" t="s">
        <v>93</v>
      </c>
    </row>
  </sheetData>
  <hyperlinks>
    <hyperlink ref="M2" r:id="rId1" xr:uid="{6B2D74F5-F272-4070-8CE0-D8DD58A4FA2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5"/>
  <sheetViews>
    <sheetView workbookViewId="0">
      <selection activeCell="B24" sqref="B24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253</v>
      </c>
    </row>
    <row r="2" spans="1:2" x14ac:dyDescent="0.25">
      <c r="A2" t="s">
        <v>251</v>
      </c>
      <c r="B2" t="s">
        <v>252</v>
      </c>
    </row>
    <row r="3" spans="1:2" x14ac:dyDescent="0.25">
      <c r="A3" t="s">
        <v>254</v>
      </c>
      <c r="B3" t="s">
        <v>255</v>
      </c>
    </row>
    <row r="4" spans="1:2" x14ac:dyDescent="0.25">
      <c r="A4" t="s">
        <v>256</v>
      </c>
      <c r="B4" t="s">
        <v>257</v>
      </c>
    </row>
    <row r="5" spans="1:2" x14ac:dyDescent="0.25">
      <c r="A5" t="s">
        <v>258</v>
      </c>
      <c r="B5" s="5" t="s">
        <v>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2026-02-05T15:07:26Z</dcterms:modified>
</cp:coreProperties>
</file>